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lice First" sheetId="2" state="visible" r:id="rId4"/>
    <sheet name="Art Spec" sheetId="3" state="visible" r:id="rId5"/>
    <sheet name="Scenes" sheetId="4" state="visible" r:id="rId6"/>
    <sheet name="Asset List" sheetId="5" state="visible" r:id="rId7"/>
  </sheets>
  <definedNames>
    <definedName function="false" hidden="false" localSheetId="2" name="_xlnm.Print_Titles" vbProcedure="false">'Art Spec'!$1:$2</definedName>
    <definedName function="false" hidden="false" localSheetId="4" name="_xlnm.Print_Titles" vbProcedure="false">'Asset List'!$1:$4</definedName>
    <definedName function="false" hidden="true" localSheetId="4" name="_xlnm._FilterDatabase" vbProcedure="false">'Asset List'!$A$4:$Q$262</definedName>
    <definedName function="false" hidden="false" localSheetId="3" name="_xlnm.Print_Titles" vbProcedure="false">Scenes!$1:$4</definedName>
    <definedName function="false" hidden="false" localSheetId="1" name="_xlnm.Print_Titles" vbProcedure="false">'Slice First'!$1:$4</definedName>
    <definedName function="false" hidden="false" localSheetId="0" name="_xlnm.Print_Titles" vbProcedure="false">Summary!$1:$2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<sst xmlns="http://schemas.openxmlformats.org/spreadsheetml/2006/main" count="4736" uniqueCount="1998">
  <si>
    <t xml:space="preserve">VINLAND  ·  ART</t>
  </si>
  <si>
    <t xml:space="preserve">Summary  ·  how much art, when it is needed, and how much is done (reads the Status column)</t>
  </si>
  <si>
    <t xml:space="preserve">BY PHASE  ·  PAINT IN THIS ORDER</t>
  </si>
  <si>
    <t xml:space="preserve">Phase</t>
  </si>
  <si>
    <t xml:space="preserve">Assets</t>
  </si>
  <si>
    <t xml:space="preserve">Must</t>
  </si>
  <si>
    <t xml:space="preserve">Hours</t>
  </si>
  <si>
    <t xml:space="preserve">Hours done</t>
  </si>
  <si>
    <t xml:space="preserve">Hours left</t>
  </si>
  <si>
    <t xml:space="preserve">Done</t>
  </si>
  <si>
    <t xml:space="preserve">Gate</t>
  </si>
  <si>
    <t xml:space="preserve">Preproduction</t>
  </si>
  <si>
    <t xml:space="preserve">G0</t>
  </si>
  <si>
    <t xml:space="preserve">Vertical slice</t>
  </si>
  <si>
    <t xml:space="preserve">G1</t>
  </si>
  <si>
    <t xml:space="preserve">Production</t>
  </si>
  <si>
    <t xml:space="preserve">G2</t>
  </si>
  <si>
    <t xml:space="preserve">Alpha</t>
  </si>
  <si>
    <t xml:space="preserve">G3</t>
  </si>
  <si>
    <t xml:space="preserve">Beta</t>
  </si>
  <si>
    <t xml:space="preserve">G4</t>
  </si>
  <si>
    <t xml:space="preserve">Polish and ship</t>
  </si>
  <si>
    <t xml:space="preserve">G5</t>
  </si>
  <si>
    <t xml:space="preserve">All phases</t>
  </si>
  <si>
    <t xml:space="preserve">AGAINST THE PLAN</t>
  </si>
  <si>
    <t xml:space="preserve">Measure</t>
  </si>
  <si>
    <t xml:space="preserve">Value</t>
  </si>
  <si>
    <t xml:space="preserve">Source</t>
  </si>
  <si>
    <t xml:space="preserve">Art person-weeks in the plan</t>
  </si>
  <si>
    <t xml:space="preserve">TeamBudget: Art row, all phases (from the plan workbook)</t>
  </si>
  <si>
    <t xml:space="preserve">Hours per person-week</t>
  </si>
  <si>
    <t xml:space="preserve">Planning assumption; change it to your real week</t>
  </si>
  <si>
    <t xml:space="preserve">Planned art hours</t>
  </si>
  <si>
    <t xml:space="preserve">Person-weeks × hours</t>
  </si>
  <si>
    <t xml:space="preserve">Estimated hours on this list</t>
  </si>
  <si>
    <t xml:space="preserve">Sum of the Est. hours column</t>
  </si>
  <si>
    <t xml:space="preserve">Hours flagged for outsourcing</t>
  </si>
  <si>
    <t xml:space="preserve">Rows marked Outsource "Yes"</t>
  </si>
  <si>
    <t xml:space="preserve">In-house hours if outsourcing happens</t>
  </si>
  <si>
    <t xml:space="preserve">What is left for you</t>
  </si>
  <si>
    <t xml:space="preserve">Fit (in-house hours ÷ planned hours)</t>
  </si>
  <si>
    <t xml:space="preserve">Over 100% means cut Could rows, outsource more, or add art weeks</t>
  </si>
  <si>
    <t xml:space="preserve">BY CATEGORY</t>
  </si>
  <si>
    <t xml:space="preserve">Category</t>
  </si>
  <si>
    <t xml:space="preserve">ID prefix</t>
  </si>
  <si>
    <t xml:space="preserve">Style targets</t>
  </si>
  <si>
    <t xml:space="preserve">STY</t>
  </si>
  <si>
    <t xml:space="preserve">Sky plates and celestial</t>
  </si>
  <si>
    <t xml:space="preserve">SKY</t>
  </si>
  <si>
    <t xml:space="preserve">Clouds and fog layers</t>
  </si>
  <si>
    <t xml:space="preserve">CLD</t>
  </si>
  <si>
    <t xml:space="preserve">Sea, ice and wildlife</t>
  </si>
  <si>
    <t xml:space="preserve">SEA</t>
  </si>
  <si>
    <t xml:space="preserve">Coasts by leg</t>
  </si>
  <si>
    <t xml:space="preserve">CST</t>
  </si>
  <si>
    <t xml:space="preserve">The knarr and other vessels</t>
  </si>
  <si>
    <t xml:space="preserve">SHP</t>
  </si>
  <si>
    <t xml:space="preserve">Weather and water effects</t>
  </si>
  <si>
    <t xml:space="preserve">WFX</t>
  </si>
  <si>
    <t xml:space="preserve">Navigation mini-games (star ring, sun board)</t>
  </si>
  <si>
    <t xml:space="preserve">NAV</t>
  </si>
  <si>
    <t xml:space="preserve">Fishing (hand line, net)</t>
  </si>
  <si>
    <t xml:space="preserve">FSH</t>
  </si>
  <si>
    <t xml:space="preserve">Hunting (stalk and loose)</t>
  </si>
  <si>
    <t xml:space="preserve">HNT</t>
  </si>
  <si>
    <t xml:space="preserve">Foraging (patch reading)</t>
  </si>
  <si>
    <t xml:space="preserve">FOR</t>
  </si>
  <si>
    <t xml:space="preserve">Building (joint, lift, smoke rack)</t>
  </si>
  <si>
    <t xml:space="preserve">BLD</t>
  </si>
  <si>
    <t xml:space="preserve">Storm bail</t>
  </si>
  <si>
    <t xml:space="preserve">BAL</t>
  </si>
  <si>
    <t xml:space="preserve">Camp: ground, seasons and buildings</t>
  </si>
  <si>
    <t xml:space="preserve">CMP</t>
  </si>
  <si>
    <t xml:space="preserve">Livestock</t>
  </si>
  <si>
    <t xml:space="preserve">ANI</t>
  </si>
  <si>
    <t xml:space="preserve">Crew and named characters</t>
  </si>
  <si>
    <t xml:space="preserve">CHR</t>
  </si>
  <si>
    <t xml:space="preserve">Market and visitors (consultant review)</t>
  </si>
  <si>
    <t xml:space="preserve">MKT</t>
  </si>
  <si>
    <t xml:space="preserve">Leg map</t>
  </si>
  <si>
    <t xml:space="preserve">MAP</t>
  </si>
  <si>
    <t xml:space="preserve">Eriksfjord loadout</t>
  </si>
  <si>
    <t xml:space="preserve">LOD</t>
  </si>
  <si>
    <t xml:space="preserve">UI kit (wood and wool)</t>
  </si>
  <si>
    <t xml:space="preserve">UIK</t>
  </si>
  <si>
    <t xml:space="preserve">HUD instruments</t>
  </si>
  <si>
    <t xml:space="preserve">HUD</t>
  </si>
  <si>
    <t xml:space="preserve">Resource and item icons</t>
  </si>
  <si>
    <t xml:space="preserve">ICN</t>
  </si>
  <si>
    <t xml:space="preserve">Event and weather card illustrations</t>
  </si>
  <si>
    <t xml:space="preserve">EVT</t>
  </si>
  <si>
    <t xml:space="preserve">Ending cards and score</t>
  </si>
  <si>
    <t xml:space="preserve">END</t>
  </si>
  <si>
    <t xml:space="preserve">Title and menus</t>
  </si>
  <si>
    <t xml:space="preserve">MNU</t>
  </si>
  <si>
    <t xml:space="preserve">Particle textures</t>
  </si>
  <si>
    <t xml:space="preserve">VFX</t>
  </si>
  <si>
    <t xml:space="preserve">Store and marketing art</t>
  </si>
  <si>
    <t xml:space="preserve">MKG</t>
  </si>
  <si>
    <t xml:space="preserve">BY STATUS</t>
  </si>
  <si>
    <t xml:space="preserve">Status</t>
  </si>
  <si>
    <t xml:space="preserve">Not started</t>
  </si>
  <si>
    <t xml:space="preserve">Sketch</t>
  </si>
  <si>
    <t xml:space="preserve">In progress</t>
  </si>
  <si>
    <t xml:space="preserve">Review</t>
  </si>
  <si>
    <t xml:space="preserve">Final</t>
  </si>
  <si>
    <t xml:space="preserve">Imported</t>
  </si>
  <si>
    <t xml:space="preserve">Cut</t>
  </si>
  <si>
    <t xml:space="preserve">Start here  ·  the art the vertical slice needs, in the order the build will use it</t>
  </si>
  <si>
    <t xml:space="preserve">ID</t>
  </si>
  <si>
    <t xml:space="preserve">Asset</t>
  </si>
  <si>
    <t xml:space="preserve">Export size</t>
  </si>
  <si>
    <t xml:space="preserve">Priority</t>
  </si>
  <si>
    <t xml:space="preserve">Why now</t>
  </si>
  <si>
    <t xml:space="preserve">STY-01</t>
  </si>
  <si>
    <t xml:space="preserve">Sea style target paintover</t>
  </si>
  <si>
    <t xml:space="preserve">1920×1080</t>
  </si>
  <si>
    <t xml:space="preserve">Locks the look before anything else is finished (gate G0).</t>
  </si>
  <si>
    <t xml:space="preserve">STY-02</t>
  </si>
  <si>
    <t xml:space="preserve">Camp style target paintover</t>
  </si>
  <si>
    <t xml:space="preserve">STY-03</t>
  </si>
  <si>
    <t xml:space="preserve">UI style target paintover</t>
  </si>
  <si>
    <t xml:space="preserve">STY-04</t>
  </si>
  <si>
    <t xml:space="preserve">Palette swatch sheet</t>
  </si>
  <si>
    <t xml:space="preserve">1024×512</t>
  </si>
  <si>
    <t xml:space="preserve">STY-05</t>
  </si>
  <si>
    <t xml:space="preserve">Character scale and proportion sheet</t>
  </si>
  <si>
    <t xml:space="preserve">STY-06</t>
  </si>
  <si>
    <t xml:space="preserve">Greyscale readability test</t>
  </si>
  <si>
    <t xml:space="preserve">Should</t>
  </si>
  <si>
    <t xml:space="preserve">SKY-01</t>
  </si>
  <si>
    <t xml:space="preserve">Sky plate: clear day</t>
  </si>
  <si>
    <t xml:space="preserve">The voyage and the star ring need these skies.</t>
  </si>
  <si>
    <t xml:space="preserve">SKY-03</t>
  </si>
  <si>
    <t xml:space="preserve">Sky plate: fog</t>
  </si>
  <si>
    <t xml:space="preserve">SKY-06</t>
  </si>
  <si>
    <t xml:space="preserve">Sky plate: summer twilight</t>
  </si>
  <si>
    <t xml:space="preserve">SKY-07</t>
  </si>
  <si>
    <t xml:space="preserve">Sky plate: clear night</t>
  </si>
  <si>
    <t xml:space="preserve">SKY-08</t>
  </si>
  <si>
    <t xml:space="preserve">Sky plate: clouded night</t>
  </si>
  <si>
    <t xml:space="preserve">SKY-13</t>
  </si>
  <si>
    <t xml:space="preserve">Sky plate: camp summer and autumn</t>
  </si>
  <si>
    <t xml:space="preserve">SKY-14</t>
  </si>
  <si>
    <t xml:space="preserve">Sun disc with glow</t>
  </si>
  <si>
    <t xml:space="preserve">256×256</t>
  </si>
  <si>
    <t xml:space="preserve">SKY-16</t>
  </si>
  <si>
    <t xml:space="preserve">Voyage night star field</t>
  </si>
  <si>
    <t xml:space="preserve">CLD-01</t>
  </si>
  <si>
    <t xml:space="preserve">Cloud band: fair weather</t>
  </si>
  <si>
    <t xml:space="preserve">3840×540</t>
  </si>
  <si>
    <t xml:space="preserve">Fog and cloud gaps make the ring hard; without them there is no difficulty.</t>
  </si>
  <si>
    <t xml:space="preserve">CLD-05</t>
  </si>
  <si>
    <t xml:space="preserve">Fog sheets</t>
  </si>
  <si>
    <t xml:space="preserve">3840×1080</t>
  </si>
  <si>
    <t xml:space="preserve">CLD-06</t>
  </si>
  <si>
    <t xml:space="preserve">Cloud gap overlays for the ring</t>
  </si>
  <si>
    <t xml:space="preserve">CLD-07</t>
  </si>
  <si>
    <t xml:space="preserve">False horizon glow</t>
  </si>
  <si>
    <t xml:space="preserve">1920×300</t>
  </si>
  <si>
    <t xml:space="preserve">SEA-01</t>
  </si>
  <si>
    <t xml:space="preserve">Sea band far: calm</t>
  </si>
  <si>
    <t xml:space="preserve">3840×300</t>
  </si>
  <si>
    <t xml:space="preserve">The first sea leg.</t>
  </si>
  <si>
    <t xml:space="preserve">SEA-02</t>
  </si>
  <si>
    <t xml:space="preserve">Sea band far: swell</t>
  </si>
  <si>
    <t xml:space="preserve">SEA-05</t>
  </si>
  <si>
    <t xml:space="preserve">Sea band near with foam</t>
  </si>
  <si>
    <t xml:space="preserve">3840×400</t>
  </si>
  <si>
    <t xml:space="preserve">SEA-06</t>
  </si>
  <si>
    <t xml:space="preserve">Bow wake and hull foam</t>
  </si>
  <si>
    <t xml:space="preserve">512×256 per frame</t>
  </si>
  <si>
    <t xml:space="preserve">SHP-01</t>
  </si>
  <si>
    <t xml:space="preserve">Knarr hull (side view)</t>
  </si>
  <si>
    <t xml:space="preserve">1400×560</t>
  </si>
  <si>
    <t xml:space="preserve">The knarr is on screen for the whole voyage.</t>
  </si>
  <si>
    <t xml:space="preserve">SHP-02</t>
  </si>
  <si>
    <t xml:space="preserve">Mast and yard</t>
  </si>
  <si>
    <t xml:space="preserve">400×900</t>
  </si>
  <si>
    <t xml:space="preserve">SHP-03</t>
  </si>
  <si>
    <t xml:space="preserve">Sail states</t>
  </si>
  <si>
    <t xml:space="preserve">900×800</t>
  </si>
  <si>
    <t xml:space="preserve">SHP-05</t>
  </si>
  <si>
    <t xml:space="preserve">Steering oar</t>
  </si>
  <si>
    <t xml:space="preserve">160×520</t>
  </si>
  <si>
    <t xml:space="preserve">SHP-08</t>
  </si>
  <si>
    <t xml:space="preserve">Deck cargo stack states</t>
  </si>
  <si>
    <t xml:space="preserve">700×260</t>
  </si>
  <si>
    <t xml:space="preserve">SHP-10</t>
  </si>
  <si>
    <t xml:space="preserve">Crew on deck</t>
  </si>
  <si>
    <t xml:space="preserve">80×140 each</t>
  </si>
  <si>
    <t xml:space="preserve">SHP-13</t>
  </si>
  <si>
    <t xml:space="preserve">Ship token for the map</t>
  </si>
  <si>
    <t xml:space="preserve">128×128</t>
  </si>
  <si>
    <t xml:space="preserve">NAV-01</t>
  </si>
  <si>
    <t xml:space="preserve">Star ring instrument</t>
  </si>
  <si>
    <t xml:space="preserve">900×900</t>
  </si>
  <si>
    <t xml:space="preserve">The ring is the make-or-break test of the slice.</t>
  </si>
  <si>
    <t xml:space="preserve">NAV-02</t>
  </si>
  <si>
    <t xml:space="preserve">Ring notch highlight and seat glow</t>
  </si>
  <si>
    <t xml:space="preserve">NAV-03</t>
  </si>
  <si>
    <t xml:space="preserve">Hands holding the ring</t>
  </si>
  <si>
    <t xml:space="preserve">600×700 each</t>
  </si>
  <si>
    <t xml:space="preserve">NAV-04</t>
  </si>
  <si>
    <t xml:space="preserve">Pole Star and star marks</t>
  </si>
  <si>
    <t xml:space="preserve">64×64 each</t>
  </si>
  <si>
    <t xml:space="preserve">NAV-05</t>
  </si>
  <si>
    <t xml:space="preserve">Ring horizon line</t>
  </si>
  <si>
    <t xml:space="preserve">1920×200</t>
  </si>
  <si>
    <t xml:space="preserve">NAV-06</t>
  </si>
  <si>
    <t xml:space="preserve">Fix result marks</t>
  </si>
  <si>
    <t xml:space="preserve">NAV-07</t>
  </si>
  <si>
    <t xml:space="preserve">Sun board dial</t>
  </si>
  <si>
    <t xml:space="preserve">NAV-08</t>
  </si>
  <si>
    <t xml:space="preserve">Gnomon curve inlays</t>
  </si>
  <si>
    <t xml:space="preserve">NAV-09</t>
  </si>
  <si>
    <t xml:space="preserve">Gnomon shadow and tip glint</t>
  </si>
  <si>
    <t xml:space="preserve">64×512</t>
  </si>
  <si>
    <t xml:space="preserve">NAV-10</t>
  </si>
  <si>
    <t xml:space="preserve">Sun board peg and water bowl</t>
  </si>
  <si>
    <t xml:space="preserve">1400×1000 bowl, 64×128 peg</t>
  </si>
  <si>
    <t xml:space="preserve">HUD-01</t>
  </si>
  <si>
    <t xml:space="preserve">Hold tally stick</t>
  </si>
  <si>
    <t xml:space="preserve">1200×120</t>
  </si>
  <si>
    <t xml:space="preserve">The hold must be readable at a glance.</t>
  </si>
  <si>
    <t xml:space="preserve">HUD-02</t>
  </si>
  <si>
    <t xml:space="preserve">Ration selector</t>
  </si>
  <si>
    <t xml:space="preserve">96×96</t>
  </si>
  <si>
    <t xml:space="preserve">HUD-03</t>
  </si>
  <si>
    <t xml:space="preserve">Pace selector</t>
  </si>
  <si>
    <t xml:space="preserve">HUD-04</t>
  </si>
  <si>
    <t xml:space="preserve">Season dial</t>
  </si>
  <si>
    <t xml:space="preserve">320×320</t>
  </si>
  <si>
    <t xml:space="preserve">HUD-05</t>
  </si>
  <si>
    <t xml:space="preserve">Watch and day counter</t>
  </si>
  <si>
    <t xml:space="preserve">320×80</t>
  </si>
  <si>
    <t xml:space="preserve">HUD-09</t>
  </si>
  <si>
    <t xml:space="preserve">Latitude readout and drift arrow</t>
  </si>
  <si>
    <t xml:space="preserve">96×320, 160×160</t>
  </si>
  <si>
    <t xml:space="preserve">ICN-01</t>
  </si>
  <si>
    <t xml:space="preserve">Resource icons</t>
  </si>
  <si>
    <t xml:space="preserve">128×128 (shown at 48–96)</t>
  </si>
  <si>
    <t xml:space="preserve">Hold and ration icons.</t>
  </si>
  <si>
    <t xml:space="preserve">ICN-02</t>
  </si>
  <si>
    <t xml:space="preserve">Verb icons</t>
  </si>
  <si>
    <t xml:space="preserve">ICN-04</t>
  </si>
  <si>
    <t xml:space="preserve">Controller button glyphs</t>
  </si>
  <si>
    <t xml:space="preserve">64×64</t>
  </si>
  <si>
    <t xml:space="preserve">UIK-01</t>
  </si>
  <si>
    <t xml:space="preserve">Primary panel 9-slice</t>
  </si>
  <si>
    <t xml:space="preserve">256×256 (margins 48)</t>
  </si>
  <si>
    <t xml:space="preserve">Every screen needs the kit.</t>
  </si>
  <si>
    <t xml:space="preserve">UIK-02</t>
  </si>
  <si>
    <t xml:space="preserve">Secondary panel and tooltip 9-slices</t>
  </si>
  <si>
    <t xml:space="preserve">128×128 (margins 24)</t>
  </si>
  <si>
    <t xml:space="preserve">UIK-03</t>
  </si>
  <si>
    <t xml:space="preserve">Buttons</t>
  </si>
  <si>
    <t xml:space="preserve">192×64 (margins 24)</t>
  </si>
  <si>
    <t xml:space="preserve">UIK-05</t>
  </si>
  <si>
    <t xml:space="preserve">Meter frames and fills</t>
  </si>
  <si>
    <t xml:space="preserve">256×48</t>
  </si>
  <si>
    <t xml:space="preserve">UIK-07</t>
  </si>
  <si>
    <t xml:space="preserve">Dialogue and choice panel</t>
  </si>
  <si>
    <t xml:space="preserve">512×256 (margins 64)</t>
  </si>
  <si>
    <t xml:space="preserve">UIK-08</t>
  </si>
  <si>
    <t xml:space="preserve">Toast and notification tag</t>
  </si>
  <si>
    <t xml:space="preserve">256×64</t>
  </si>
  <si>
    <t xml:space="preserve">UIK-09</t>
  </si>
  <si>
    <t xml:space="preserve">Event card frame</t>
  </si>
  <si>
    <t xml:space="preserve">880×760</t>
  </si>
  <si>
    <t xml:space="preserve">CST-01</t>
  </si>
  <si>
    <t xml:space="preserve">Coast strip far: Eriksfjord</t>
  </si>
  <si>
    <t xml:space="preserve">5760×400</t>
  </si>
  <si>
    <t xml:space="preserve">Eriksfjord departure and landfall at the Strait.</t>
  </si>
  <si>
    <t xml:space="preserve">CST-02</t>
  </si>
  <si>
    <t xml:space="preserve">Coast strip near: Eriksfjord</t>
  </si>
  <si>
    <t xml:space="preserve">5760×600</t>
  </si>
  <si>
    <t xml:space="preserve">CST-09</t>
  </si>
  <si>
    <t xml:space="preserve">Coast strip far: The Strait (camp site)</t>
  </si>
  <si>
    <t xml:space="preserve">CST-10</t>
  </si>
  <si>
    <t xml:space="preserve">Coast strip near: The Strait (camp site)</t>
  </si>
  <si>
    <t xml:space="preserve">CST-13</t>
  </si>
  <si>
    <t xml:space="preserve">Landfall beach foreground</t>
  </si>
  <si>
    <t xml:space="preserve">FSH-01</t>
  </si>
  <si>
    <t xml:space="preserve">Underwater cross-section</t>
  </si>
  <si>
    <t xml:space="preserve">Hand-line fishing is a slice verb.</t>
  </si>
  <si>
    <t xml:space="preserve">FSH-03</t>
  </si>
  <si>
    <t xml:space="preserve">Gunwale and hands with hand line</t>
  </si>
  <si>
    <t xml:space="preserve">1100×500</t>
  </si>
  <si>
    <t xml:space="preserve">FSH-04</t>
  </si>
  <si>
    <t xml:space="preserve">Hook, bait, and sinker</t>
  </si>
  <si>
    <t xml:space="preserve">96×96 each</t>
  </si>
  <si>
    <t xml:space="preserve">FSH-05</t>
  </si>
  <si>
    <t xml:space="preserve">Cod</t>
  </si>
  <si>
    <t xml:space="preserve">320×160 per frame</t>
  </si>
  <si>
    <t xml:space="preserve">FSH-02</t>
  </si>
  <si>
    <t xml:space="preserve">Current streak particles</t>
  </si>
  <si>
    <t xml:space="preserve">128×32</t>
  </si>
  <si>
    <t xml:space="preserve">BLD-01</t>
  </si>
  <si>
    <t xml:space="preserve">Joint workbench close-up</t>
  </si>
  <si>
    <t xml:space="preserve">One joint is a slice verb.</t>
  </si>
  <si>
    <t xml:space="preserve">BLD-02</t>
  </si>
  <si>
    <t xml:space="preserve">Timber pieces with grain</t>
  </si>
  <si>
    <t xml:space="preserve">1400×400</t>
  </si>
  <si>
    <t xml:space="preserve">BLD-03</t>
  </si>
  <si>
    <t xml:space="preserve">Treenail peg</t>
  </si>
  <si>
    <t xml:space="preserve">120×360</t>
  </si>
  <si>
    <t xml:space="preserve">BLD-04</t>
  </si>
  <si>
    <t xml:space="preserve">Mallet and hands</t>
  </si>
  <si>
    <t xml:space="preserve">700×600</t>
  </si>
  <si>
    <t xml:space="preserve">BLD-05</t>
  </si>
  <si>
    <t xml:space="preserve">Split log state</t>
  </si>
  <si>
    <t xml:space="preserve">BLD-06</t>
  </si>
  <si>
    <t xml:space="preserve">Wood chips and dust</t>
  </si>
  <si>
    <t xml:space="preserve">128×128 per frame</t>
  </si>
  <si>
    <t xml:space="preserve">CMP-01</t>
  </si>
  <si>
    <t xml:space="preserve">Camp ground: summer</t>
  </si>
  <si>
    <t xml:space="preserve">One camp day.</t>
  </si>
  <si>
    <t xml:space="preserve">CMP-06</t>
  </si>
  <si>
    <t xml:space="preserve">Camp far hills layer</t>
  </si>
  <si>
    <t xml:space="preserve">3840×500</t>
  </si>
  <si>
    <t xml:space="preserve">CMP-07</t>
  </si>
  <si>
    <t xml:space="preserve">Booth (búð)</t>
  </si>
  <si>
    <t xml:space="preserve">420×300</t>
  </si>
  <si>
    <t xml:space="preserve">CMP-16</t>
  </si>
  <si>
    <t xml:space="preserve">Camp props</t>
  </si>
  <si>
    <t xml:space="preserve">up to 300×300</t>
  </si>
  <si>
    <t xml:space="preserve">CMP-19</t>
  </si>
  <si>
    <t xml:space="preserve">Job markers</t>
  </si>
  <si>
    <t xml:space="preserve">96×128</t>
  </si>
  <si>
    <t xml:space="preserve">CHR-01</t>
  </si>
  <si>
    <t xml:space="preserve">Crew body rigs</t>
  </si>
  <si>
    <t xml:space="preserve">200×360 bounding</t>
  </si>
  <si>
    <t xml:space="preserve">People at camp.</t>
  </si>
  <si>
    <t xml:space="preserve">LOD-02</t>
  </si>
  <si>
    <t xml:space="preserve">Hold cross-section grid</t>
  </si>
  <si>
    <t xml:space="preserve">1600×480</t>
  </si>
  <si>
    <t xml:space="preserve">The hold grid and tokens.</t>
  </si>
  <si>
    <t xml:space="preserve">LOD-03</t>
  </si>
  <si>
    <t xml:space="preserve">Cargo tokens</t>
  </si>
  <si>
    <t xml:space="preserve">96×96 (cattle 144×96)</t>
  </si>
  <si>
    <t xml:space="preserve">MAP-01</t>
  </si>
  <si>
    <t xml:space="preserve">Leg map board</t>
  </si>
  <si>
    <t xml:space="preserve">The leg chain.</t>
  </si>
  <si>
    <t xml:space="preserve">MAP-02</t>
  </si>
  <si>
    <t xml:space="preserve">Region emblems</t>
  </si>
  <si>
    <t xml:space="preserve">160×160</t>
  </si>
  <si>
    <t xml:space="preserve">MAP-03</t>
  </si>
  <si>
    <t xml:space="preserve">Route segments</t>
  </si>
  <si>
    <t xml:space="preserve">512×64 tileable</t>
  </si>
  <si>
    <t xml:space="preserve">EVT-11</t>
  </si>
  <si>
    <t xml:space="preserve">Event: cask breached</t>
  </si>
  <si>
    <t xml:space="preserve">800×450</t>
  </si>
  <si>
    <t xml:space="preserve">Cask breach is a slice event.</t>
  </si>
  <si>
    <t xml:space="preserve">VFX-01</t>
  </si>
  <si>
    <t xml:space="preserve">Soft particle set</t>
  </si>
  <si>
    <t xml:space="preserve">Splash, smoke, particles.</t>
  </si>
  <si>
    <t xml:space="preserve">VFX-02</t>
  </si>
  <si>
    <t xml:space="preserve">Smoke puff sheet</t>
  </si>
  <si>
    <t xml:space="preserve">256×256 per frame</t>
  </si>
  <si>
    <t xml:space="preserve">VFX-03</t>
  </si>
  <si>
    <t xml:space="preserve">Splash sheet</t>
  </si>
  <si>
    <t xml:space="preserve">WFX-07</t>
  </si>
  <si>
    <t xml:space="preserve">Water and wind noise textures</t>
  </si>
  <si>
    <t xml:space="preserve">512×512</t>
  </si>
  <si>
    <t xml:space="preserve">Shader noise for sea and sail.</t>
  </si>
  <si>
    <t xml:space="preserve">MKG-01</t>
  </si>
  <si>
    <t xml:space="preserve">Steam header capsule</t>
  </si>
  <si>
    <t xml:space="preserve">920×430</t>
  </si>
  <si>
    <t xml:space="preserve">Store page goes up at G1 so wishlists build for a year.</t>
  </si>
  <si>
    <t xml:space="preserve">MKG-02</t>
  </si>
  <si>
    <t xml:space="preserve">Steam small capsule</t>
  </si>
  <si>
    <t xml:space="preserve">462×174</t>
  </si>
  <si>
    <t xml:space="preserve">MKG-03</t>
  </si>
  <si>
    <t xml:space="preserve">Steam main capsule</t>
  </si>
  <si>
    <t xml:space="preserve">1232×706</t>
  </si>
  <si>
    <t xml:space="preserve">MKG-04</t>
  </si>
  <si>
    <t xml:space="preserve">Steam vertical capsule</t>
  </si>
  <si>
    <t xml:space="preserve">748×896</t>
  </si>
  <si>
    <t xml:space="preserve">MKG-13</t>
  </si>
  <si>
    <t xml:space="preserve">itch.io cover image</t>
  </si>
  <si>
    <t xml:space="preserve">630×500</t>
  </si>
  <si>
    <t xml:space="preserve">MKG-05</t>
  </si>
  <si>
    <t xml:space="preserve">Steam page background</t>
  </si>
  <si>
    <t xml:space="preserve">1438×810</t>
  </si>
  <si>
    <t xml:space="preserve">MKG-14</t>
  </si>
  <si>
    <t xml:space="preserve">itch.io banner and page background</t>
  </si>
  <si>
    <t xml:space="preserve">960×300, 1920×1080</t>
  </si>
  <si>
    <t xml:space="preserve">Slice art hours</t>
  </si>
  <si>
    <t xml:space="preserve">Art spec  ·  the rules every file follows so it drops straight into the Godot build</t>
  </si>
  <si>
    <t xml:space="preserve">HOW THIS LIST WORKS</t>
  </si>
  <si>
    <t xml:space="preserve">Every asset has an ID, an export size, and a file path. Save your finished PNG at exactly that path inside the project folder and the game picks it up on the next build. Until then the build uses a placeholder drawn at the same size, so nothing waits on art.</t>
  </si>
  <si>
    <t xml:space="preserve">Work in phase order. Vertical slice assets come first because the slice (one sea leg, a star fix, a fish, a camp day, one joint) is the go or no-go point of the whole project (gate G1).</t>
  </si>
  <si>
    <t xml:space="preserve">The Status column on Asset List is yours. Move each row through Not started, Sketch, In progress, Review, Final, and Imported. The Summary sheet counts hours done and left from it.</t>
  </si>
  <si>
    <t xml:space="preserve">Hours are first estimates for one artist painting at a finished-indie standard, including one revision. They exist to plan with; replace them with your own as you learn your pace.</t>
  </si>
  <si>
    <t xml:space="preserve">Rows marked Outsource "Yes" are the ones the plan's $18,000 outsource art budget was meant for: ships, UI frames, and sky plates on the plan, plus big background plates here.</t>
  </si>
  <si>
    <t xml:space="preserve">Market visitors and their boats, clothing, and goods stay as rough silhouettes until the cultural consultant has reviewed them (Backlog F59, Risk R11). Do not finish them early.</t>
  </si>
  <si>
    <t xml:space="preserve">GLOBAL EXPORT RULES</t>
  </si>
  <si>
    <t xml:space="preserve">Rule</t>
  </si>
  <si>
    <t xml:space="preserve">Specification</t>
  </si>
  <si>
    <t xml:space="preserve">Why</t>
  </si>
  <si>
    <t xml:space="preserve">Applies to</t>
  </si>
  <si>
    <t xml:space="preserve">Base resolution</t>
  </si>
  <si>
    <t xml:space="preserve">1920×1080 game canvas. Godot stretch mode canvas_items, aspect expand.</t>
  </si>
  <si>
    <t xml:space="preserve">One art scale for every screen; 4K and 1440p scale up cleanly.</t>
  </si>
  <si>
    <t xml:space="preserve">Everything</t>
  </si>
  <si>
    <t xml:space="preserve">Steam Deck bleed</t>
  </si>
  <si>
    <t xml:space="preserve">Full-screen backgrounds are exported at 1920×1200: the central 1920×1080 is the safe area and 60 px of extra art sits above and below it.</t>
  </si>
  <si>
    <t xml:space="preserve">Steam Deck is 16:10. With bleed it shows more art instead of black bars.</t>
  </si>
  <si>
    <t xml:space="preserve">Background plates, illustrations used full screen</t>
  </si>
  <si>
    <t xml:space="preserve">Source resolution</t>
  </si>
  <si>
    <t xml:space="preserve">Paint at 2× (3840×2160 canvas) where you can, then export at the listed size. Keep layered source files (.kra, .psd) in art_source/.</t>
  </si>
  <si>
    <t xml:space="preserve">Lets store art and 4K screenshots reuse the same paintings.</t>
  </si>
  <si>
    <t xml:space="preserve">Plates, key art, portraits</t>
  </si>
  <si>
    <t xml:space="preserve">File format</t>
  </si>
  <si>
    <t xml:space="preserve">PNG, 8-bit RGBA, sRGB, straight (not premultiplied) alpha. JPG only where a store asks for it.</t>
  </si>
  <si>
    <t xml:space="preserve">Godot imports this without colour shifts.</t>
  </si>
  <si>
    <t xml:space="preserve">Transparency</t>
  </si>
  <si>
    <t xml:space="preserve">Clean alpha edges with no halo: matte against the average background colour, never pure white or black.</t>
  </si>
  <si>
    <t xml:space="preserve">Prevents bright fringes on sprites over dark sea.</t>
  </si>
  <si>
    <t xml:space="preserve">Sprites, overlays</t>
  </si>
  <si>
    <t xml:space="preserve">No baked text</t>
  </si>
  <si>
    <t xml:space="preserve">No words painted into any asset except the logo. All text is drawn by the game.</t>
  </si>
  <si>
    <t xml:space="preserve">Localization and the font size option (F51, F63).</t>
  </si>
  <si>
    <t xml:space="preserve">Everything except the logo</t>
  </si>
  <si>
    <t xml:space="preserve">Sprite sheets</t>
  </si>
  <si>
    <t xml:space="preserve">One animation per file, frames left to right in a single row, every cell the same size, no padding. File name ends in _strip8 (frame count).</t>
  </si>
  <si>
    <t xml:space="preserve">Godot imports strips directly into SpriteFrames.</t>
  </si>
  <si>
    <t xml:space="preserve">Animated sprites</t>
  </si>
  <si>
    <t xml:space="preserve">Frame rate</t>
  </si>
  <si>
    <t xml:space="preserve">Creatures and people 12 fps; water, fire, and smoke loops 10 fps; UI 8 fps. Loops must loop without a pop.</t>
  </si>
  <si>
    <t xml:space="preserve">Painterly animation reads better on 12 than 24.</t>
  </si>
  <si>
    <t xml:space="preserve">Animations</t>
  </si>
  <si>
    <t xml:space="preserve">Cutout rigs</t>
  </si>
  <si>
    <t xml:space="preserve">Characters that move a lot are cutout rigs: each body part on its own layer, exported as separate PNGs in one folder, with a pivots.txt listing each part's joint point in pixels.</t>
  </si>
  <si>
    <t xml:space="preserve">Godot Skeleton2D animates them; one rig serves dozens of animations.</t>
  </si>
  <si>
    <t xml:space="preserve">Crew, hunter, visitors</t>
  </si>
  <si>
    <t xml:space="preserve">Pivots</t>
  </si>
  <si>
    <t xml:space="preserve">Ground-standing sprites: bottom centre. Floating objects: centre. Hanging objects: top centre. Water objects: the waterline.</t>
  </si>
  <si>
    <t xml:space="preserve">Code positions sprites by these points.</t>
  </si>
  <si>
    <t xml:space="preserve">Sprites</t>
  </si>
  <si>
    <t xml:space="preserve">9-slice UI</t>
  </si>
  <si>
    <t xml:space="preserve">UI panels are 9-slice: the margin numbers in the Layers column are the unscaled border in pixels on each side.</t>
  </si>
  <si>
    <t xml:space="preserve">Panels resize to any text length.</t>
  </si>
  <si>
    <t xml:space="preserve">UI kit</t>
  </si>
  <si>
    <t xml:space="preserve">Naming</t>
  </si>
  <si>
    <t xml:space="preserve">lowercase_with_underscores, starting with the asset ID: sky_01_clear_day.png. Variants add a suffix: _fog, _winter, _s1.</t>
  </si>
  <si>
    <t xml:space="preserve">Keeps the build's file paths predictable.</t>
  </si>
  <si>
    <t xml:space="preserve">Sets and variants</t>
  </si>
  <si>
    <t xml:space="preserve">Where a row lists several variants, states, or icons, save one PNG per item: the path stem plus a short suffix, e.g. icn_01_resource_icons_timber.png, cmp_08_longhouse_s3.png (stage 3).</t>
  </si>
  <si>
    <t xml:space="preserve">The build loads each state by name.</t>
  </si>
  <si>
    <t xml:space="preserve">Sprite sets, icon sets, building stages</t>
  </si>
  <si>
    <t xml:space="preserve">Folders</t>
  </si>
  <si>
    <t xml:space="preserve">art/&lt;category folder&gt;/ as shown in the File path column, inside the Godot project folder.</t>
  </si>
  <si>
    <t xml:space="preserve">Matches the paths the build expects.</t>
  </si>
  <si>
    <t xml:space="preserve">SCALE AND LINES THAT MUST MATCH</t>
  </si>
  <si>
    <t xml:space="preserve">Where it is used</t>
  </si>
  <si>
    <t xml:space="preserve">Check against</t>
  </si>
  <si>
    <t xml:space="preserve">Voyage horizon line</t>
  </si>
  <si>
    <t xml:space="preserve">y = 620 (on the 1080 canvas)</t>
  </si>
  <si>
    <t xml:space="preserve">All voyage sky plates, sea bands, coast strips</t>
  </si>
  <si>
    <t xml:space="preserve">Sea style target</t>
  </si>
  <si>
    <t xml:space="preserve">Camp horizon line</t>
  </si>
  <si>
    <t xml:space="preserve">y = 540</t>
  </si>
  <si>
    <t xml:space="preserve">Camp skies and camp far hills</t>
  </si>
  <si>
    <t xml:space="preserve">Camp style target</t>
  </si>
  <si>
    <t xml:space="preserve">Underwater surface line</t>
  </si>
  <si>
    <t xml:space="preserve">y = 260</t>
  </si>
  <si>
    <t xml:space="preserve">Hand-line cross-section</t>
  </si>
  <si>
    <t xml:space="preserve">Adult at voyage scale</t>
  </si>
  <si>
    <t xml:space="preserve">about 110 px tall</t>
  </si>
  <si>
    <t xml:space="preserve">Crew on deck, distant figures</t>
  </si>
  <si>
    <t xml:space="preserve">Character scale sheet</t>
  </si>
  <si>
    <t xml:space="preserve">Adult at camp scale</t>
  </si>
  <si>
    <t xml:space="preserve">about 180 px tall</t>
  </si>
  <si>
    <t xml:space="preserve">Camp, market, lift</t>
  </si>
  <si>
    <t xml:space="preserve">Adult at hunt scale</t>
  </si>
  <si>
    <t xml:space="preserve">about 340 px tall</t>
  </si>
  <si>
    <t xml:space="preserve">Hunter in the stalk scene</t>
  </si>
  <si>
    <t xml:space="preserve">Cow at camp scale</t>
  </si>
  <si>
    <t xml:space="preserve">about 150 px at the shoulder</t>
  </si>
  <si>
    <t xml:space="preserve">Knarr length at voyage scale</t>
  </si>
  <si>
    <t xml:space="preserve">about 1,400 px stem to stern</t>
  </si>
  <si>
    <t xml:space="preserve">Ship parts canvas 1600×1200</t>
  </si>
  <si>
    <t xml:space="preserve">Smallest readable icon</t>
  </si>
  <si>
    <t xml:space="preserve">48 px on screen (painted at 128)</t>
  </si>
  <si>
    <t xml:space="preserve">HUD icons</t>
  </si>
  <si>
    <t xml:space="preserve">UI style target at 1280×800</t>
  </si>
  <si>
    <t xml:space="preserve">Body text</t>
  </si>
  <si>
    <t xml:space="preserve">22 px minimum at 1080p</t>
  </si>
  <si>
    <t xml:space="preserve">All UI</t>
  </si>
  <si>
    <t xml:space="preserve">STARTING PALETTE  ·  REFINE IT IN THE PALETTE SWATCH SHEET (STY-04)</t>
  </si>
  <si>
    <t xml:space="preserve">Name</t>
  </si>
  <si>
    <t xml:space="preserve">Hex</t>
  </si>
  <si>
    <t xml:space="preserve">Swatch</t>
  </si>
  <si>
    <t xml:space="preserve">Use</t>
  </si>
  <si>
    <t xml:space="preserve">Labrador slate</t>
  </si>
  <si>
    <t xml:space="preserve">#2F4A57</t>
  </si>
  <si>
    <t xml:space="preserve">Deep sea, storm water</t>
  </si>
  <si>
    <t xml:space="preserve">North Atlantic grey-blue</t>
  </si>
  <si>
    <t xml:space="preserve">#5C7C8A</t>
  </si>
  <si>
    <t xml:space="preserve">Mid sea, overcast sky</t>
  </si>
  <si>
    <t xml:space="preserve">Fog white</t>
  </si>
  <si>
    <t xml:space="preserve">#DCE3E3</t>
  </si>
  <si>
    <t xml:space="preserve">Fog, highlights on water</t>
  </si>
  <si>
    <t xml:space="preserve">Midsummer sky</t>
  </si>
  <si>
    <t xml:space="preserve">#A9C4D0</t>
  </si>
  <si>
    <t xml:space="preserve">Clear-day zenith</t>
  </si>
  <si>
    <t xml:space="preserve">Night ink</t>
  </si>
  <si>
    <t xml:space="preserve">#141F2B</t>
  </si>
  <si>
    <t xml:space="preserve">Night sky, deep shadow</t>
  </si>
  <si>
    <t xml:space="preserve">Spruce green</t>
  </si>
  <si>
    <t xml:space="preserve">#2E4A36</t>
  </si>
  <si>
    <t xml:space="preserve">Markland forest, shadows on turf</t>
  </si>
  <si>
    <t xml:space="preserve">Turf green</t>
  </si>
  <si>
    <t xml:space="preserve">#6E8A4E</t>
  </si>
  <si>
    <t xml:space="preserve">Summer grass, turf roofs</t>
  </si>
  <si>
    <t xml:space="preserve">Lichen yellow</t>
  </si>
  <si>
    <t xml:space="preserve">#C8B560</t>
  </si>
  <si>
    <t xml:space="preserve">Dye colour, autumn grass</t>
  </si>
  <si>
    <t xml:space="preserve">Peat brown</t>
  </si>
  <si>
    <t xml:space="preserve">#4A3828</t>
  </si>
  <si>
    <t xml:space="preserve">Bog, tarred hull, wet timber</t>
  </si>
  <si>
    <t xml:space="preserve">Weathered oak</t>
  </si>
  <si>
    <t xml:space="preserve">#8A6D4E</t>
  </si>
  <si>
    <t xml:space="preserve">Hull planks, UI wood</t>
  </si>
  <si>
    <t xml:space="preserve">Birch white</t>
  </si>
  <si>
    <t xml:space="preserve">#E8E2D4</t>
  </si>
  <si>
    <t xml:space="preserve">Birch bark, UI highlights</t>
  </si>
  <si>
    <t xml:space="preserve">Natural wool</t>
  </si>
  <si>
    <t xml:space="preserve">#EDE3CC</t>
  </si>
  <si>
    <t xml:space="preserve">Sail stripes, UI felt</t>
  </si>
  <si>
    <t xml:space="preserve">Madder red</t>
  </si>
  <si>
    <t xml:space="preserve">#9E3A2E</t>
  </si>
  <si>
    <t xml:space="preserve">Red cloth, sail stripes, danger</t>
  </si>
  <si>
    <t xml:space="preserve">Woad blue</t>
  </si>
  <si>
    <t xml:space="preserve">#3F5D85</t>
  </si>
  <si>
    <t xml:space="preserve">Dyed clothing</t>
  </si>
  <si>
    <t xml:space="preserve">Iron grey</t>
  </si>
  <si>
    <t xml:space="preserve">#5E5F5C</t>
  </si>
  <si>
    <t xml:space="preserve">Tools, blades, rivets</t>
  </si>
  <si>
    <t xml:space="preserve">Whale-oil gold</t>
  </si>
  <si>
    <t xml:space="preserve">#C9A55A</t>
  </si>
  <si>
    <t xml:space="preserve">Lamplight, the selected state in UI</t>
  </si>
  <si>
    <t xml:space="preserve">UI ink</t>
  </si>
  <si>
    <t xml:space="preserve">#1C1915</t>
  </si>
  <si>
    <t xml:space="preserve">Text on wood and wool</t>
  </si>
  <si>
    <t xml:space="preserve">Scenes  ·  where every asset sits, in draw order from back to front</t>
  </si>
  <si>
    <t xml:space="preserve">Scene</t>
  </si>
  <si>
    <t xml:space="preserve">Camera</t>
  </si>
  <si>
    <t xml:space="preserve">Layers, back to front</t>
  </si>
  <si>
    <t xml:space="preserve">Fixed positions</t>
  </si>
  <si>
    <t xml:space="preserve">Asset ID prefixes</t>
  </si>
  <si>
    <t xml:space="preserve">Voyage</t>
  </si>
  <si>
    <t xml:space="preserve">Side-on, static camera; the ship sits left of centre and bobs; the world scrolls past right to left.</t>
  </si>
  <si>
    <t xml:space="preserve">1 sky plate · 2 sun or moon · 3 star field (night) · 4 cloud bands · 5 coast far strip · 6 icebergs far · 7 sea band far · 8 coast near strip · 9 ship (hull, mast, sail, oar, cargo, livestock, crew, damage) · 10 wake · 11 sea band near · 12 drift ice near · 13 weather FX (rain, spray, fog near) · 14 HUD</t>
  </si>
  <si>
    <t xml:space="preserve">Horizon y = 620. Ship waterline y = 760, ship centre x = 760.</t>
  </si>
  <si>
    <t xml:space="preserve">SKY, CLD, SEA, CST, SHP, WFX, HUD</t>
  </si>
  <si>
    <t xml:space="preserve">Star ring</t>
  </si>
  <si>
    <t xml:space="preserve">First person, looking north at the sky through the held ring; the view rolls with the ship.</t>
  </si>
  <si>
    <t xml:space="preserve">1 night sky plate · 2 stars and Pole Star · 3 cloud gap overlay · 4 horizon line · 5 false horizon glow · 6 fog sheets · 7 ring · 8 seat glow · 9 hands · 10 result mark</t>
  </si>
  <si>
    <t xml:space="preserve">Ring centre at (960, 560). Pole Star placed by code.</t>
  </si>
  <si>
    <t xml:space="preserve">SKY, CLD, NAV</t>
  </si>
  <si>
    <t xml:space="preserve">Sun board</t>
  </si>
  <si>
    <t xml:space="preserve">Top-down at the dial floating in a bowl; the deck below is out of focus.</t>
  </si>
  <si>
    <t xml:space="preserve">1 bowl and blurred deck · 2 dial · 3 gnomon curves · 4 gnomon shadow and tip · 5 peg · 6 overcast dimming · 7 hands (optional)</t>
  </si>
  <si>
    <t xml:space="preserve">Dial centre at (960, 540).</t>
  </si>
  <si>
    <t xml:space="preserve">Hand line</t>
  </si>
  <si>
    <t xml:space="preserve">Split view: gunwale and surface at the top, underwater below.</t>
  </si>
  <si>
    <t xml:space="preserve">1 underwater cross-section · 2 current particles · 3 fish · 4 hook, bait, sinker · 5 line (code) · 6 fog dimming · 7 gunwale and hands</t>
  </si>
  <si>
    <t xml:space="preserve">Surface y = 260. Hands bottom left.</t>
  </si>
  <si>
    <t xml:space="preserve">FSH, VFX</t>
  </si>
  <si>
    <t xml:space="preserve">Net</t>
  </si>
  <si>
    <t xml:space="preserve">Three-quarter view down into shallow water over the side of the boat.</t>
  </si>
  <si>
    <t xml:space="preserve">1 shallow water · 2 fish school · 3 net throw arc · 4 rain overlay · 5 hauled net</t>
  </si>
  <si>
    <t xml:space="preserve">Landing area centre (960, 600).</t>
  </si>
  <si>
    <t xml:space="preserve">Hunt</t>
  </si>
  <si>
    <t xml:space="preserve">Side-scrolling stalk across a meadow; the camera follows the hunter.</t>
  </si>
  <si>
    <t xml:space="preserve">1 sky plate · 2 far layer · 3 mid layer · 4 animal · 5 hunter · 6 near grass strips · 7 wind streaks · 8 rain overlay</t>
  </si>
  <si>
    <t xml:space="preserve">Ground line y = 860.</t>
  </si>
  <si>
    <t xml:space="preserve">HNT, WFX</t>
  </si>
  <si>
    <t xml:space="preserve">Forage</t>
  </si>
  <si>
    <t xml:space="preserve">Top-down close-up of one patch.</t>
  </si>
  <si>
    <t xml:space="preserve">1 patch background (state) · 2 pickups · 3 birds (bird cliff) · 4 reaching hand · 5 basket</t>
  </si>
  <si>
    <t xml:space="preserve">Basket bottom right at (1660, 860).</t>
  </si>
  <si>
    <t xml:space="preserve">Joint</t>
  </si>
  <si>
    <t xml:space="preserve">Close-up on a trestle, low three-quarter angle.</t>
  </si>
  <si>
    <t xml:space="preserve">1 workbench · 2 timber (wood type) · 3 grain line layer · 4 peg · 5 chips · 6 mallet and hands</t>
  </si>
  <si>
    <t xml:space="preserve">Mortise hole at (1010, 520).</t>
  </si>
  <si>
    <t xml:space="preserve">Lift</t>
  </si>
  <si>
    <t xml:space="preserve">Side view of the shear legs at the building site or slipway.</t>
  </si>
  <si>
    <t xml:space="preserve">1 camp sky · 2 lift background · 3 lifted timber · 4 rope (code) · 5 hauling crew · 6 slipway surf (slipway only)</t>
  </si>
  <si>
    <t xml:space="preserve">Block at (960, 180).</t>
  </si>
  <si>
    <t xml:space="preserve">BLD, CHR</t>
  </si>
  <si>
    <t xml:space="preserve">Smoke rack</t>
  </si>
  <si>
    <t xml:space="preserve">Close-up of the rack and fire from slightly below.</t>
  </si>
  <si>
    <t xml:space="preserve">1 rack background · 2 fish on the rack · 3 fire · 4 smoke column · 5 wind shove FX</t>
  </si>
  <si>
    <t xml:space="preserve">Fire centre (960, 900).</t>
  </si>
  <si>
    <t xml:space="preserve">Inside the hold looking aft.</t>
  </si>
  <si>
    <t xml:space="preserve">1 hull interior · 2 bilge water level · 3 lost cask · 4 leak jet · 5 bailing crew · 6 wave over the side · 7 metronome (haptics off)</t>
  </si>
  <si>
    <t xml:space="preserve">Water level range y 700–1000.</t>
  </si>
  <si>
    <t xml:space="preserve">Camp</t>
  </si>
  <si>
    <t xml:space="preserve">Side-on diorama 3,840 px wide; the camera pans across it.</t>
  </si>
  <si>
    <t xml:space="preserve">1 camp sky · 2 cloud band · 3 far hills · 4 camp ground (season) · 5 buildings and props · 6 livestock and people · 7 snow overlays · 8 weather FX · 9 job markers · 10 HUD</t>
  </si>
  <si>
    <t xml:space="preserve">Plot centres (x): palisade 0–300, smithy 420, booths 760 and 1080, smoke rack 1340, longhouse 2000, haystacks 2620, byre 2980, boat shed and slipway 3500. Ground line y = 860. Shore starts x = 3200.</t>
  </si>
  <si>
    <t xml:space="preserve">SKY, CMP, ANI, CHR</t>
  </si>
  <si>
    <t xml:space="preserve">Market</t>
  </si>
  <si>
    <t xml:space="preserve">Same diorama, camera parked on the shore end.</t>
  </si>
  <si>
    <t xml:space="preserve">1 to 4 as Camp · 5 skin boats on the shingle · 6 trade blanket and goods · 7 visitors and crew · 8 market dressing · 9 dialogue panel</t>
  </si>
  <si>
    <t xml:space="preserve">Trade blanket centre x = 3050 on the camp ground.</t>
  </si>
  <si>
    <t xml:space="preserve">MKT, CMP, CHR</t>
  </si>
  <si>
    <t xml:space="preserve">Flat view of the carved route board.</t>
  </si>
  <si>
    <t xml:space="preserve">1 map board · 2 route segments · 3 region emblems · 4 weather glyphs · 5 ship token</t>
  </si>
  <si>
    <t xml:space="preserve">Node centres: Eriksfjord (1650, 300), Labrador Sea (1350, 380), Helluland (1050, 250), Markland (800, 450), Furðustrandir (620, 620), the Strait (450, 780), Hóp (260, 900).</t>
  </si>
  <si>
    <t xml:space="preserve">Loadout</t>
  </si>
  <si>
    <t xml:space="preserve">Upper half the quay, lower half the hold grid.</t>
  </si>
  <si>
    <t xml:space="preserve">1 Eriksfjord quay · 2 hold grid · 3 cargo tokens · 4 outfit cards (outfit choice step) · 5 HUD totals</t>
  </si>
  <si>
    <t xml:space="preserve">Hold grid top-left (160, 560); 24 slots in 2 rows of 12, 112 px apart.</t>
  </si>
  <si>
    <t xml:space="preserve">Overlaid on every play scene.</t>
  </si>
  <si>
    <t xml:space="preserve">Top left: watch and day counter. Top centre: toasts. Top right: season dial. Bottom: hold tally stick. Bottom left: ship condition. Bottom right: ration and pace selectors. Camp and market add the fear and goodwill cord top centre.</t>
  </si>
  <si>
    <t xml:space="preserve">Hold tally stick at (360, 960); notch 1 at x = 72 on the stick, 44 px apart.</t>
  </si>
  <si>
    <t xml:space="preserve">HUD, ICN, UIK</t>
  </si>
  <si>
    <t xml:space="preserve">Events and endings</t>
  </si>
  <si>
    <t xml:space="preserve">Card over a dimmed scene, or full screen for endings.</t>
  </si>
  <si>
    <t xml:space="preserve">1 dimmed current scene · 2 event card frame · 3 illustration · 4 text and choices (code)</t>
  </si>
  <si>
    <t xml:space="preserve">Illustration window at (40, 40) inside the card.</t>
  </si>
  <si>
    <t xml:space="preserve">EVT, END, UIK</t>
  </si>
  <si>
    <t xml:space="preserve">Asset list  ·  every piece of art in the game, in category order; filter by Phase to see what is needed next</t>
  </si>
  <si>
    <t xml:space="preserve">Description (what to paint)</t>
  </si>
  <si>
    <t xml:space="preserve">Used in</t>
  </si>
  <si>
    <t xml:space="preserve">Type</t>
  </si>
  <si>
    <t xml:space="preserve">Export size (px)</t>
  </si>
  <si>
    <t xml:space="preserve">Frames / states</t>
  </si>
  <si>
    <t xml:space="preserve">Layers, pivots, and notes</t>
  </si>
  <si>
    <t xml:space="preserve">File path</t>
  </si>
  <si>
    <t xml:space="preserve">Phase needed</t>
  </si>
  <si>
    <t xml:space="preserve">Backlog</t>
  </si>
  <si>
    <t xml:space="preserve">Outsource?</t>
  </si>
  <si>
    <t xml:space="preserve">Est. hours</t>
  </si>
  <si>
    <t xml:space="preserve">Your notes</t>
  </si>
  <si>
    <t xml:space="preserve">Finished-quality frame of the voyage view at golden hour: knarr under full sail on a long swell, Markland forest on the horizon, crew silhouettes on deck. Sets brushwork, edge softness, value structure, and how much detail a 1080p frame carries. Every sea, sky, and ship asset is judged against it.</t>
  </si>
  <si>
    <t xml:space="preserve">Paintover</t>
  </si>
  <si>
    <t xml:space="preserve">1</t>
  </si>
  <si>
    <t xml:space="preserve">Paint as separate layers in the voyage layer order (see Scenes) so it can be cut into real assets later. Keep the PSD/KRA.</t>
  </si>
  <si>
    <t xml:space="preserve">art_source/style/sty_01_sea_style_target_paintover.png</t>
  </si>
  <si>
    <t xml:space="preserve">F44</t>
  </si>
  <si>
    <t xml:space="preserve">No</t>
  </si>
  <si>
    <t xml:space="preserve">Summer camp on the Strait shore: two booths raised, longhouse frame half up, bull tethered, smoke rack lit, knarr drawn up on the shingle. Sets the look of turf, timber, wool, and people at camp scale.</t>
  </si>
  <si>
    <t xml:space="preserve">Layered in the camp layer order. Character scale is set here: an adult is about 180 px tall at camp scale.</t>
  </si>
  <si>
    <t xml:space="preserve">art_source/style/sty_02_camp_style_target_paintover.png</t>
  </si>
  <si>
    <t xml:space="preserve">One HUD frame over the voyage view: hold tally stick, ration and pace selectors, season dial, one dialogue panel and two buttons. Wood, wool, and a ring; no chrome, no glow, no gradients that read as plastic.</t>
  </si>
  <si>
    <t xml:space="preserve">All</t>
  </si>
  <si>
    <t xml:space="preserve">Proves legibility of 22 px body text on painted wood. Check at 1280×800 (Steam Deck) as well.</t>
  </si>
  <si>
    <t xml:space="preserve">art_source/style/sty_03_ui_style_target_paintover.png</t>
  </si>
  <si>
    <t xml:space="preserve">The master palette: 6 sea and sky blues, 5 turf and spruce greens, 4 wool creams, madder red (red cloth), iron grey, birch white, peat brown, whale-oil gold, plus the UI ink colour. Each with its hex code written under it.</t>
  </si>
  <si>
    <t xml:space="preserve">Reference sheet</t>
  </si>
  <si>
    <t xml:space="preserve">Also export as a .gpl (Krita/GIMP) or .ase (Photoshop) palette file beside the PNG. Starting values are on the Art Spec sheet.</t>
  </si>
  <si>
    <t xml:space="preserve">art_source/style/sty_04_palette_swatch_sheet.png</t>
  </si>
  <si>
    <t xml:space="preserve">Line-up of the human body types (2 sexes × 3 builds), a child, a cow, a sheep, and the knarr hull, all at camp scale, with a 1 m measuring stick. Adults are slightly stylised (head about 1/7 of height) so poses read at small size.</t>
  </si>
  <si>
    <t xml:space="preserve">Every character and animal asset is drawn to this sheet.</t>
  </si>
  <si>
    <t xml:space="preserve">art_source/style/sty_05_character_scale_and_proportion_sheet.png</t>
  </si>
  <si>
    <t xml:space="preserve">The sea and camp targets converted to greyscale, with the ship, people, and interactive objects checked for contrast against the background. Annotate any spot where the player could lose the ship or the cursor.</t>
  </si>
  <si>
    <t xml:space="preserve">2</t>
  </si>
  <si>
    <t xml:space="preserve">Not shipped. Keep for the art bible.</t>
  </si>
  <si>
    <t xml:space="preserve">art_source/style/sty_06_greyscale_readability_test.png</t>
  </si>
  <si>
    <t xml:space="preserve">High-latitude summer day: pale cold blue at the zenith fading to a hazy, almost white horizon. A few high cirrus streaks only. Bright but never saturated.</t>
  </si>
  <si>
    <t xml:space="preserve">Background plate</t>
  </si>
  <si>
    <t xml:space="preserve">1920×1200 (1080 safe)</t>
  </si>
  <si>
    <t xml:space="preserve">Static, rearmost layer. Horizon line at y = 620 for all voyage sky plates so they swap without shifting.</t>
  </si>
  <si>
    <t xml:space="preserve">res://art/sky/sky_01_sky_plate_clear_day.png</t>
  </si>
  <si>
    <t xml:space="preserve">F02</t>
  </si>
  <si>
    <t xml:space="preserve">Yes</t>
  </si>
  <si>
    <t xml:space="preserve">SKY-02</t>
  </si>
  <si>
    <t xml:space="preserve">Sky plate: overcast</t>
  </si>
  <si>
    <t xml:space="preserve">Flat grey-blue cloud deck with slightly darker undersides. The sun is a faint brighter patch only. Reads as no sun board today.</t>
  </si>
  <si>
    <t xml:space="preserve">Horizon at y = 620.</t>
  </si>
  <si>
    <t xml:space="preserve">res://art/sky/sky_02_sky_plate_overcast.png</t>
  </si>
  <si>
    <t xml:space="preserve">F09</t>
  </si>
  <si>
    <t xml:space="preserve">Near-white luminous fog that eats the horizon entirely; the sun is a pale disc that may or may not be there. Feels close and quiet.</t>
  </si>
  <si>
    <t xml:space="preserve">Pairs with the fog sheet layers. Horizon is implied, not drawn.</t>
  </si>
  <si>
    <t xml:space="preserve">res://art/sky/sky_03_sky_plate_fog.png</t>
  </si>
  <si>
    <t xml:space="preserve">SKY-04</t>
  </si>
  <si>
    <t xml:space="preserve">Sky plate: low cloud</t>
  </si>
  <si>
    <t xml:space="preserve">Ragged scud racing low over the sea under a higher grey layer, with breaks of pale light. Used for the low-cloud weather card.</t>
  </si>
  <si>
    <t xml:space="preserve">res://art/sky/sky_04_sky_plate_low_cloud.png</t>
  </si>
  <si>
    <t xml:space="preserve">SKY-05</t>
  </si>
  <si>
    <t xml:space="preserve">Sky plate: dawn</t>
  </si>
  <si>
    <t xml:space="preserve">Cold peach and lilac band along the horizon under a deep blue sky; last stars fading in the upper third.</t>
  </si>
  <si>
    <t xml:space="preserve">res://art/sky/sky_05_sky_plate_dawn.png</t>
  </si>
  <si>
    <t xml:space="preserve">F35</t>
  </si>
  <si>
    <t xml:space="preserve">The short northern night: the sky never fully darkens, a lingering amber glow under the north horizon, a few bright stars. This is the hardest night for the star ring.</t>
  </si>
  <si>
    <t xml:space="preserve">Voyage, Star ring</t>
  </si>
  <si>
    <t xml:space="preserve">Horizon at y = 620. Reused behind the star ring at reduced brightness.</t>
  </si>
  <si>
    <t xml:space="preserve">res://art/sky/sky_06_sky_plate_summer_twilight.png</t>
  </si>
  <si>
    <t xml:space="preserve">F03</t>
  </si>
  <si>
    <t xml:space="preserve">Deep blue-black night with a faint Milky Way and a hint of horizon light. Clean, readable star field for a clean fix.</t>
  </si>
  <si>
    <t xml:space="preserve">Stars are separate sprites; paint only the gradient and Milky Way haze here.</t>
  </si>
  <si>
    <t xml:space="preserve">res://art/sky/sky_07_sky_plate_clear_night.png</t>
  </si>
  <si>
    <t xml:space="preserve">Night sky mostly covered by dark cloud with two or three ragged gaps. The difficulty of the ring comes from these gaps.</t>
  </si>
  <si>
    <t xml:space="preserve">Cloud gaps are also delivered as separate overlay sprites so the code can move them.</t>
  </si>
  <si>
    <t xml:space="preserve">res://art/sky/sky_08_sky_plate_clouded_night.png</t>
  </si>
  <si>
    <t xml:space="preserve">SKY-09</t>
  </si>
  <si>
    <t xml:space="preserve">Sky plate: storm</t>
  </si>
  <si>
    <t xml:space="preserve">Bruised slate cloud wall, rain curtains hanging from it, a lighter seam at the horizon. Oppressive, low contrast.</t>
  </si>
  <si>
    <t xml:space="preserve">Voyage, Storm bail</t>
  </si>
  <si>
    <t xml:space="preserve">res://art/sky/sky_09_sky_plate_storm.png</t>
  </si>
  <si>
    <t xml:space="preserve">F10</t>
  </si>
  <si>
    <t xml:space="preserve">SKY-10</t>
  </si>
  <si>
    <t xml:space="preserve">Sky plate: autumn grey</t>
  </si>
  <si>
    <t xml:space="preserve">Heavier, colder overcast with a long low sun glare under the cloud edge. The return voyage bias: everything a step darker and colder than summer.</t>
  </si>
  <si>
    <t xml:space="preserve">res://art/sky/sky_10_sky_plate_autumn_grey.png</t>
  </si>
  <si>
    <t xml:space="preserve">F24</t>
  </si>
  <si>
    <t xml:space="preserve">SKY-11</t>
  </si>
  <si>
    <t xml:space="preserve">Sky plate: aurora night</t>
  </si>
  <si>
    <t xml:space="preserve">Autumn night with a green aurora curtain low in the north. Rare event sky on the return voyage; a moment of beauty, not a gameplay signal.</t>
  </si>
  <si>
    <t xml:space="preserve">Aurora painted on its own layer so it can be faded in.</t>
  </si>
  <si>
    <t xml:space="preserve">res://art/sky/sky_11_sky_plate_aurora_night.png</t>
  </si>
  <si>
    <t xml:space="preserve">Could</t>
  </si>
  <si>
    <t xml:space="preserve">SKY-12</t>
  </si>
  <si>
    <t xml:space="preserve">Sky plate: winter camp</t>
  </si>
  <si>
    <t xml:space="preserve">Pale, low winter sky with a sun barely above the treeline, long cold shadows implied. Used over the camp in winter.</t>
  </si>
  <si>
    <t xml:space="preserve">Camp horizon line at y = 540 (camp plates use their own horizon).</t>
  </si>
  <si>
    <t xml:space="preserve">res://art/sky/sky_12_sky_plate_winter_camp.png</t>
  </si>
  <si>
    <t xml:space="preserve">F47</t>
  </si>
  <si>
    <t xml:space="preserve">Two camp skies: a bright summer afternoon and a hazy autumn evening, matched to the camp horizon.</t>
  </si>
  <si>
    <t xml:space="preserve">Camp, Market</t>
  </si>
  <si>
    <t xml:space="preserve">2 variants</t>
  </si>
  <si>
    <t xml:space="preserve">Camp horizon at y = 540.</t>
  </si>
  <si>
    <t xml:space="preserve">res://art/sky/sky_13_sky_plate_camp_summer_and_autumn.png</t>
  </si>
  <si>
    <t xml:space="preserve">F06</t>
  </si>
  <si>
    <t xml:space="preserve">Soft sun disc with a warm bloom; a second, dimmer version for haze and fog.</t>
  </si>
  <si>
    <t xml:space="preserve">Voyage, Sun board</t>
  </si>
  <si>
    <t xml:space="preserve">Sprite</t>
  </si>
  <si>
    <t xml:space="preserve">Centre pivot. Additive blend friendly: paint on transparent black-free alpha.</t>
  </si>
  <si>
    <t xml:space="preserve">res://art/sky/sky_14_sun_disc_with_glow.png</t>
  </si>
  <si>
    <t xml:space="preserve">F04</t>
  </si>
  <si>
    <t xml:space="preserve">SKY-15</t>
  </si>
  <si>
    <t xml:space="preserve">Moon phases</t>
  </si>
  <si>
    <t xml:space="preserve">Eight moon phases, pale and slightly textured, small enough not to compete with the Pole Star.</t>
  </si>
  <si>
    <t xml:space="preserve">Sprite sheet</t>
  </si>
  <si>
    <t xml:space="preserve">8 frames</t>
  </si>
  <si>
    <t xml:space="preserve">Horizontal strip, 1024×128. Centre pivot.</t>
  </si>
  <si>
    <t xml:space="preserve">res://art/sky/sky_15_moon_phases_strip.png</t>
  </si>
  <si>
    <t xml:space="preserve">Sparse star field for the voyage view: only the brightest marks, uneven, with a few faint ones. Not a planetarium.</t>
  </si>
  <si>
    <t xml:space="preserve">Overlay</t>
  </si>
  <si>
    <t xml:space="preserve">Transparent PNG over the night sky plates.</t>
  </si>
  <si>
    <t xml:space="preserve">res://art/sky/sky_16_voyage_night_star_field.png</t>
  </si>
  <si>
    <t xml:space="preserve">Scattered cumulus and streaks along the upper sky, painted to tile seamlessly left-right. Drifts slowly with the wind.</t>
  </si>
  <si>
    <t xml:space="preserve">Voyage, Camp</t>
  </si>
  <si>
    <t xml:space="preserve">Tileable layer</t>
  </si>
  <si>
    <t xml:space="preserve">Horizontal tile; transparent. Top-anchored.</t>
  </si>
  <si>
    <t xml:space="preserve">res://art/clouds/cld_01_cloud_band_fair_weather.png</t>
  </si>
  <si>
    <t xml:space="preserve">CLD-02</t>
  </si>
  <si>
    <t xml:space="preserve">Cloud band: overcast underside</t>
  </si>
  <si>
    <t xml:space="preserve">Dark, rolling undersides of a cloud deck that tile horizontally; gives the overcast plate movement.</t>
  </si>
  <si>
    <t xml:space="preserve">Horizontal tile; transparent.</t>
  </si>
  <si>
    <t xml:space="preserve">res://art/clouds/cld_02_cloud_band_overcast_underside.png</t>
  </si>
  <si>
    <t xml:space="preserve">CLD-03</t>
  </si>
  <si>
    <t xml:space="preserve">Cloud band: low scud</t>
  </si>
  <si>
    <t xml:space="preserve">Torn, fast-moving fragments at mid height, semi-transparent.</t>
  </si>
  <si>
    <t xml:space="preserve">Horizontal tile; scrolls faster than the other cloud layers.</t>
  </si>
  <si>
    <t xml:space="preserve">res://art/clouds/cld_03_cloud_band_low_scud.png</t>
  </si>
  <si>
    <t xml:space="preserve">CLD-04</t>
  </si>
  <si>
    <t xml:space="preserve">Cloud wall: storm</t>
  </si>
  <si>
    <t xml:space="preserve">Heavy storm wall with rain shafts hanging from it, tileable, sitting just above the horizon.</t>
  </si>
  <si>
    <t xml:space="preserve">3840×600</t>
  </si>
  <si>
    <t xml:space="preserve">res://art/clouds/cld_04_cloud_wall_storm.png</t>
  </si>
  <si>
    <t xml:space="preserve">Three layers of soft fog banks at different densities (far, mid, near) that tile horizontally and slide past each other.</t>
  </si>
  <si>
    <t xml:space="preserve">Voyage, Star ring, Hand line</t>
  </si>
  <si>
    <t xml:space="preserve">3 layers</t>
  </si>
  <si>
    <t xml:space="preserve">Transparent, soft-edged. The near layer sits in front of the ship.</t>
  </si>
  <si>
    <t xml:space="preserve">res://art/clouds/cld_05_fog_sheets.png</t>
  </si>
  <si>
    <t xml:space="preserve">Four cloud-cover overlays for the star ring view, each with one or two holes where stars can be seen. The holes are where the fix can be made.</t>
  </si>
  <si>
    <t xml:space="preserve">4 variants</t>
  </si>
  <si>
    <t xml:space="preserve">Transparent. Code moves and fades them; keep hole edges soft.</t>
  </si>
  <si>
    <t xml:space="preserve">res://art/clouds/cld_06_cloud_gap_overlays_for_the_ring.png</t>
  </si>
  <si>
    <t xml:space="preserve">A band of misleading light near the horizon in fog, which the player might mistake for the real horizon.</t>
  </si>
  <si>
    <t xml:space="preserve">Additive blend, transparent. Placed by code at a false height.</t>
  </si>
  <si>
    <t xml:space="preserve">res://art/clouds/cld_07_false_horizon_glow.png</t>
  </si>
  <si>
    <t xml:space="preserve">Distant sea surface in calm: glassy, with gentle long reflections. Tiles horizontally.</t>
  </si>
  <si>
    <t xml:space="preserve">Top edge meets horizon (y = 620). Scroll speed slowest.</t>
  </si>
  <si>
    <t xml:space="preserve">res://art/sea/sea_01_sea_band_far_calm.png</t>
  </si>
  <si>
    <t xml:space="preserve">Distant sea with a long Atlantic swell and occasional whitecaps.</t>
  </si>
  <si>
    <t xml:space="preserve">As above.</t>
  </si>
  <si>
    <t xml:space="preserve">res://art/sea/sea_02_sea_band_far_swell.png</t>
  </si>
  <si>
    <t xml:space="preserve">SEA-03</t>
  </si>
  <si>
    <t xml:space="preserve">Sea band far: beam sea</t>
  </si>
  <si>
    <t xml:space="preserve">Steep cross seas running across the ship's course, confused and choppy.</t>
  </si>
  <si>
    <t xml:space="preserve">res://art/sea/sea_03_sea_band_far_beam_sea.png</t>
  </si>
  <si>
    <t xml:space="preserve">SEA-04</t>
  </si>
  <si>
    <t xml:space="preserve">Sea band far: gale and storm</t>
  </si>
  <si>
    <t xml:space="preserve">Two states: a following gale with long streaked crests, and a storm sea with breaking tops and spindrift.</t>
  </si>
  <si>
    <t xml:space="preserve">res://art/sea/sea_04_sea_band_far_gale_and_storm.png</t>
  </si>
  <si>
    <t xml:space="preserve">Foreground water in front of the ship for each sea state (calm, swell, beam, gale, storm). Darker, larger shapes, foam lines.</t>
  </si>
  <si>
    <t xml:space="preserve">5 variants</t>
  </si>
  <si>
    <t xml:space="preserve">Bottom-anchored, in front of the ship. Ship bobbing is done in code.</t>
  </si>
  <si>
    <t xml:space="preserve">res://art/sea/sea_05_sea_band_near_with_foam.png</t>
  </si>
  <si>
    <t xml:space="preserve">Foam curl at the bow and a trailing wake that loops, for when the ship is under way.</t>
  </si>
  <si>
    <t xml:space="preserve">Horizontal strip. Pivot at the waterline.</t>
  </si>
  <si>
    <t xml:space="preserve">res://art/sea/sea_06_bow_wake_and_hull_foam_strip.png</t>
  </si>
  <si>
    <t xml:space="preserve">SEA-07</t>
  </si>
  <si>
    <t xml:space="preserve">Drift ice floes</t>
  </si>
  <si>
    <t xml:space="preserve">Six loose floes of different sizes, flat-topped, with blue-green underwater shelves visible.</t>
  </si>
  <si>
    <t xml:space="preserve">Sprite set</t>
  </si>
  <si>
    <t xml:space="preserve">up to 512×200</t>
  </si>
  <si>
    <t xml:space="preserve">6 variants</t>
  </si>
  <si>
    <t xml:space="preserve">Bottom pivot at waterline. Code scatters and scrolls them.</t>
  </si>
  <si>
    <t xml:space="preserve">res://art/sea/sea_07_drift_ice_floes.png</t>
  </si>
  <si>
    <t xml:space="preserve">SEA-08</t>
  </si>
  <si>
    <t xml:space="preserve">Icebergs</t>
  </si>
  <si>
    <t xml:space="preserve">Three icebergs (small, medium, tabular) for the Labrador Sea and Helluland legs.</t>
  </si>
  <si>
    <t xml:space="preserve">up to 900×500</t>
  </si>
  <si>
    <t xml:space="preserve">3 variants</t>
  </si>
  <si>
    <t xml:space="preserve">Bottom pivot at waterline; include a separate reflection sprite.</t>
  </si>
  <si>
    <t xml:space="preserve">res://art/sea/sea_08_icebergs.png</t>
  </si>
  <si>
    <t xml:space="preserve">F11</t>
  </si>
  <si>
    <t xml:space="preserve">SEA-09</t>
  </si>
  <si>
    <t xml:space="preserve">Whale back and spout</t>
  </si>
  <si>
    <t xml:space="preserve">A whale surfacing and blowing near the ship, then sounding. Ambient life on open water.</t>
  </si>
  <si>
    <t xml:space="preserve">12 frames</t>
  </si>
  <si>
    <t xml:space="preserve">Horizontal strip. Plays rarely.</t>
  </si>
  <si>
    <t xml:space="preserve">res://art/sea/sea_09_whale_back_and_spout_strip.png</t>
  </si>
  <si>
    <t xml:space="preserve">—</t>
  </si>
  <si>
    <t xml:space="preserve">SEA-10</t>
  </si>
  <si>
    <t xml:space="preserve">Seabird flock</t>
  </si>
  <si>
    <t xml:space="preserve">Small flock of gulls and fulmars banking over the sea; signals land is near.</t>
  </si>
  <si>
    <t xml:space="preserve">256×128 per frame</t>
  </si>
  <si>
    <t xml:space="preserve">Loop. Used as a landfall hint.</t>
  </si>
  <si>
    <t xml:space="preserve">res://art/sea/sea_10_seabird_flock_strip.png</t>
  </si>
  <si>
    <t xml:space="preserve">Green, steep fjord sides with farm fields and turf houses of Brattahlíð, glacier ice glinting at the fjord head, small icebergs in the water. Home: warm in colour even when cold. Far layer: low-contrast silhouette near the horizon.</t>
  </si>
  <si>
    <t xml:space="preserve">Scrolling strip</t>
  </si>
  <si>
    <t xml:space="preserve">Bottom edge sits on the horizon (y = 620). Not tileable; scrolls past once per leg. Transparent sky.</t>
  </si>
  <si>
    <t xml:space="preserve">res://art/coast/cst_01_coast_strip_far_eriksfjord.png</t>
  </si>
  <si>
    <t xml:space="preserve">Green, steep fjord sides with farm fields and turf houses of Brattahlíð, glacier ice glinting at the fjord head, small icebergs in the water. Home: warm in colour even when cold. Near layer: closer headlands with readable detail, used as the ship approaches landfall.</t>
  </si>
  <si>
    <t xml:space="preserve">Bottom-anchored behind the near sea band.</t>
  </si>
  <si>
    <t xml:space="preserve">res://art/coast/cst_02_coast_strip_near_eriksfjord.png</t>
  </si>
  <si>
    <t xml:space="preserve">CST-03</t>
  </si>
  <si>
    <t xml:space="preserve">Coast strip far: Helluland</t>
  </si>
  <si>
    <t xml:space="preserve">Flat, bare stone slabs and grey rock running to the sea (the sagas' "land of flat stones"), with snow patches and no trees. Far layer: low-contrast silhouette near the horizon.</t>
  </si>
  <si>
    <t xml:space="preserve">res://art/coast/cst_03_coast_strip_far_helluland.png</t>
  </si>
  <si>
    <t xml:space="preserve">CST-04</t>
  </si>
  <si>
    <t xml:space="preserve">Coast strip near: Helluland</t>
  </si>
  <si>
    <t xml:space="preserve">Flat, bare stone slabs and grey rock running to the sea (the sagas' "land of flat stones"), with snow patches and no trees. Near layer: closer headlands with readable detail, used as the ship approaches landfall.</t>
  </si>
  <si>
    <t xml:space="preserve">res://art/coast/cst_04_coast_strip_near_helluland.png</t>
  </si>
  <si>
    <t xml:space="preserve">CST-05</t>
  </si>
  <si>
    <t xml:space="preserve">Coast strip far: Markland</t>
  </si>
  <si>
    <t xml:space="preserve">Low coast of dense dark spruce forest right to the shoreline (the "land of forest"). The timber the whole game is about. Far layer: low-contrast silhouette near the horizon.</t>
  </si>
  <si>
    <t xml:space="preserve">res://art/coast/cst_05_coast_strip_far_markland.png</t>
  </si>
  <si>
    <t xml:space="preserve">CST-06</t>
  </si>
  <si>
    <t xml:space="preserve">Coast strip near: Markland</t>
  </si>
  <si>
    <t xml:space="preserve">Low coast of dense dark spruce forest right to the shoreline (the "land of forest"). The timber the whole game is about. Near layer: closer headlands with readable detail, used as the ship approaches landfall.</t>
  </si>
  <si>
    <t xml:space="preserve">res://art/coast/cst_06_coast_strip_near_markland.png</t>
  </si>
  <si>
    <t xml:space="preserve">CST-07</t>
  </si>
  <si>
    <t xml:space="preserve">Coast strip far: Furðustrandir</t>
  </si>
  <si>
    <t xml:space="preserve">Very long pale sand beaches backed by low dunes and scrub (the "wonder strands"). The coast seems to go on forever. Far layer: low-contrast silhouette near the horizon.</t>
  </si>
  <si>
    <t xml:space="preserve">res://art/coast/cst_07_coast_strip_far_furdustrandir.png</t>
  </si>
  <si>
    <t xml:space="preserve">CST-08</t>
  </si>
  <si>
    <t xml:space="preserve">Coast strip near: Furðustrandir</t>
  </si>
  <si>
    <t xml:space="preserve">Very long pale sand beaches backed by low dunes and scrub (the "wonder strands"). The coast seems to go on forever. Near layer: closer headlands with readable detail, used as the ship approaches landfall.</t>
  </si>
  <si>
    <t xml:space="preserve">res://art/coast/cst_08_coast_strip_near_furdustrandir.png</t>
  </si>
  <si>
    <t xml:space="preserve">Grassy marine terrace with a bog and a brook running to a shallow shingle shore; low hills behind. The colony site. Base this on the setting of L'Anse aux Meadows, Newfoundland. Far layer: low-contrast silhouette near the horizon.</t>
  </si>
  <si>
    <t xml:space="preserve">res://art/coast/cst_09_coast_strip_far_the_strait.png</t>
  </si>
  <si>
    <t xml:space="preserve">Grassy marine terrace with a bog and a brook running to a shallow shingle shore; low hills behind. The colony site. Base this on the setting of L'Anse aux Meadows, Newfoundland. Near layer: closer headlands with readable detail, used as the ship approaches landfall.</t>
  </si>
  <si>
    <t xml:space="preserve">res://art/coast/cst_10_coast_strip_near_the_strait.png</t>
  </si>
  <si>
    <t xml:space="preserve">CST-11</t>
  </si>
  <si>
    <t xml:space="preserve">Coast strip far: Hóp</t>
  </si>
  <si>
    <t xml:space="preserve">A lagoon behind a sandbar at a river mouth, lush lowland with tall grass and vines. Warmer light than anywhere else in the game. Far layer: low-contrast silhouette near the horizon.</t>
  </si>
  <si>
    <t xml:space="preserve">res://art/coast/cst_11_coast_strip_far_hop.png</t>
  </si>
  <si>
    <t xml:space="preserve">F27</t>
  </si>
  <si>
    <t xml:space="preserve">CST-12</t>
  </si>
  <si>
    <t xml:space="preserve">Coast strip near: Hóp</t>
  </si>
  <si>
    <t xml:space="preserve">A lagoon behind a sandbar at a river mouth, lush lowland with tall grass and vines. Warmer light than anywhere else in the game. Near layer: closer headlands with readable detail, used as the ship approaches landfall.</t>
  </si>
  <si>
    <t xml:space="preserve">res://art/coast/cst_12_coast_strip_near_hop.png</t>
  </si>
  <si>
    <t xml:space="preserve">Shingle and boulder beach with kelp wrack, seen up close as the knarr is run ashore; used for every landing.</t>
  </si>
  <si>
    <t xml:space="preserve">Foreground layer</t>
  </si>
  <si>
    <t xml:space="preserve">Bottom-anchored. Tint is varied per leg in code.</t>
  </si>
  <si>
    <t xml:space="preserve">res://art/coast/cst_13_landfall_beach_foreground.png</t>
  </si>
  <si>
    <t xml:space="preserve">A deep-bellied Norse cargo ship seen side-on, bow to the right: overlapping clinker strakes, a high curved stem and stern, a half-deck fore and aft with an open hold amidships. Oak and pine, tarred, weathered. This is the player's home for half the game.</t>
  </si>
  <si>
    <t xml:space="preserve">Sprite (cutout part)</t>
  </si>
  <si>
    <t xml:space="preserve">Pivot at the centre of the waterline. The hull is the root of the ship rig; all other ship parts are separate layers aligned to the same 1600×1200 canvas.</t>
  </si>
  <si>
    <t xml:space="preserve">res://art/ship/shp_01_knarr_hull.png</t>
  </si>
  <si>
    <t xml:space="preserve">Single pine mast with a yard, stays and shrouds as thin lines.</t>
  </si>
  <si>
    <t xml:space="preserve">Separate layer on the shared ship canvas. Pivot at the mast step.</t>
  </si>
  <si>
    <t xml:space="preserve">res://art/ship/shp_02_mast_and_yard.png</t>
  </si>
  <si>
    <t xml:space="preserve">Square woollen sail in three states: furled on the yard, reefed, full and drawing. Woven in wide madder-red and natural-wool stripes, slightly patched.</t>
  </si>
  <si>
    <t xml:space="preserve">3 states</t>
  </si>
  <si>
    <t xml:space="preserve">Same anchor point for each state so they swap cleanly. Keep sail edges crisp for a shader billow.</t>
  </si>
  <si>
    <t xml:space="preserve">res://art/ship/shp_03_sail_states.png</t>
  </si>
  <si>
    <t xml:space="preserve">F38</t>
  </si>
  <si>
    <t xml:space="preserve">SHP-04</t>
  </si>
  <si>
    <t xml:space="preserve">Torn sail overlay</t>
  </si>
  <si>
    <t xml:space="preserve">Rips and a flogging loose corner on the full sail.</t>
  </si>
  <si>
    <t xml:space="preserve">2 levels</t>
  </si>
  <si>
    <t xml:space="preserve">Laid over the full sail. Ship condition system.</t>
  </si>
  <si>
    <t xml:space="preserve">res://art/ship/shp_04_torn_sail_overlay.png</t>
  </si>
  <si>
    <t xml:space="preserve">F45</t>
  </si>
  <si>
    <t xml:space="preserve">The side rudder on the starboard quarter with its tiller, held by the helmsman.</t>
  </si>
  <si>
    <t xml:space="preserve">Pivot at the hull fixing point so code can swing it.</t>
  </si>
  <si>
    <t xml:space="preserve">res://art/ship/shp_05_steering_oar.png</t>
  </si>
  <si>
    <t xml:space="preserve">SHP-06</t>
  </si>
  <si>
    <t xml:space="preserve">Oars out</t>
  </si>
  <si>
    <t xml:space="preserve">A bank of oars run out through the oar ports for a calm day, in two stroke positions.</t>
  </si>
  <si>
    <t xml:space="preserve">1200×300</t>
  </si>
  <si>
    <t xml:space="preserve">2 frames</t>
  </si>
  <si>
    <t xml:space="preserve">For the calm-oars state.</t>
  </si>
  <si>
    <t xml:space="preserve">res://art/ship/shp_06_oars_out.png</t>
  </si>
  <si>
    <t xml:space="preserve">SHP-07</t>
  </si>
  <si>
    <t xml:space="preserve">Hull damage overlays</t>
  </si>
  <si>
    <t xml:space="preserve">A sprung strake leaking in three levels (a seep, a spurt, a gash), and patch repairs once fixed.</t>
  </si>
  <si>
    <t xml:space="preserve">4 states</t>
  </si>
  <si>
    <t xml:space="preserve">Aligned to the hull canvas.</t>
  </si>
  <si>
    <t xml:space="preserve">res://art/ship/shp_07_hull_damage_overlays.png</t>
  </si>
  <si>
    <t xml:space="preserve">What the open hold shows from outside: hide-covered bundles and casks rising from almost empty to over-full and lashed high. Five states that follow the hold tally.</t>
  </si>
  <si>
    <t xml:space="preserve">5 states</t>
  </si>
  <si>
    <t xml:space="preserve">Aligned to the hull canvas; sits in the open hold amidships. Swapped by hold fill.</t>
  </si>
  <si>
    <t xml:space="preserve">res://art/ship/shp_08_deck_cargo_stack_states.png</t>
  </si>
  <si>
    <t xml:space="preserve">F01</t>
  </si>
  <si>
    <t xml:space="preserve">SHP-09</t>
  </si>
  <si>
    <t xml:space="preserve">Livestock on deck</t>
  </si>
  <si>
    <t xml:space="preserve">A small pen amidships with a cow and a bull standing, and sheep pressed together, seen side-on above the gunwale. Two count states (few, many).</t>
  </si>
  <si>
    <t xml:space="preserve">500×240</t>
  </si>
  <si>
    <t xml:space="preserve">2 states</t>
  </si>
  <si>
    <t xml:space="preserve">res://art/ship/shp_09_livestock_on_deck.png</t>
  </si>
  <si>
    <t xml:space="preserve">F16</t>
  </si>
  <si>
    <t xml:space="preserve">Small silhouette figures at fixed posts: helmsman at the steering oar, a lookout at the bow, four midships figures that can row, bail, or sit. Each post in idle and working poses.</t>
  </si>
  <si>
    <t xml:space="preserve">6 posts × 2 poses</t>
  </si>
  <si>
    <t xml:space="preserve">Code toggles figures by crew count and task. Painted at voyage scale (about 110 px tall).</t>
  </si>
  <si>
    <t xml:space="preserve">res://art/ship/shp_10_crew_on_deck.png</t>
  </si>
  <si>
    <t xml:space="preserve">SHP-11</t>
  </si>
  <si>
    <t xml:space="preserve">Second knarr (distant)</t>
  </si>
  <si>
    <t xml:space="preserve">The relief ship or a second hull seen far off on the horizon: sail up, small, catching light.</t>
  </si>
  <si>
    <t xml:space="preserve">400×300</t>
  </si>
  <si>
    <t xml:space="preserve">Bottom pivot at the waterline.</t>
  </si>
  <si>
    <t xml:space="preserve">res://art/ship/shp_11_second_knarr.png</t>
  </si>
  <si>
    <t xml:space="preserve">F26</t>
  </si>
  <si>
    <t xml:space="preserve">SHP-12</t>
  </si>
  <si>
    <t xml:space="preserve">Knarr on the slipway</t>
  </si>
  <si>
    <t xml:space="preserve">The ship hauled up on log rollers at the camp, tilted, without its mast stepped; with a variant under repair (strakes off, ribs showing).</t>
  </si>
  <si>
    <t xml:space="preserve">1400×700</t>
  </si>
  <si>
    <t xml:space="preserve">Camp scale. Bottom pivot.</t>
  </si>
  <si>
    <t xml:space="preserve">res://art/ship/shp_12_knarr_on_the_slipway.png</t>
  </si>
  <si>
    <t xml:space="preserve">F18</t>
  </si>
  <si>
    <t xml:space="preserve">A tiny stylised knarr seen side-on, carved-wood look, used to mark position on the leg map.</t>
  </si>
  <si>
    <t xml:space="preserve">Icon</t>
  </si>
  <si>
    <t xml:space="preserve">Centre pivot.</t>
  </si>
  <si>
    <t xml:space="preserve">res://art/ship/shp_13_ship_token_for_the_map.png</t>
  </si>
  <si>
    <t xml:space="preserve">WFX-01</t>
  </si>
  <si>
    <t xml:space="preserve">Rain streak textures</t>
  </si>
  <si>
    <t xml:space="preserve">Three rain densities as tileable streak textures (drizzle, rain, downpour), slanted for wind.</t>
  </si>
  <si>
    <t xml:space="preserve">Voyage, Camp, Hunt</t>
  </si>
  <si>
    <t xml:space="preserve">Tileable texture</t>
  </si>
  <si>
    <t xml:space="preserve">1024×1024</t>
  </si>
  <si>
    <t xml:space="preserve">Used by a scrolling shader. Grey-white on transparent.</t>
  </si>
  <si>
    <t xml:space="preserve">res://art/weather_fx/wfx_01_rain_streak_textures.png</t>
  </si>
  <si>
    <t xml:space="preserve">WFX-02</t>
  </si>
  <si>
    <t xml:space="preserve">Snow and sleet textures</t>
  </si>
  <si>
    <t xml:space="preserve">Soft snowflake field and wet sleet streaks, tileable.</t>
  </si>
  <si>
    <t xml:space="preserve">Camp, Voyage</t>
  </si>
  <si>
    <t xml:space="preserve">res://art/weather_fx/wfx_02_snow_and_sleet_textures.png</t>
  </si>
  <si>
    <t xml:space="preserve">WFX-03</t>
  </si>
  <si>
    <t xml:space="preserve">Spray burst</t>
  </si>
  <si>
    <t xml:space="preserve">White water exploding off the bow when it drives into a wave.</t>
  </si>
  <si>
    <t xml:space="preserve">512×512 per frame</t>
  </si>
  <si>
    <t xml:space="preserve">10 frames</t>
  </si>
  <si>
    <t xml:space="preserve">Horizontal strip, centre-bottom pivot.</t>
  </si>
  <si>
    <t xml:space="preserve">res://art/weather_fx/wfx_03_spray_burst_strip.png</t>
  </si>
  <si>
    <t xml:space="preserve">WFX-04</t>
  </si>
  <si>
    <t xml:space="preserve">Green water over the gunwale</t>
  </si>
  <si>
    <t xml:space="preserve">A solid wave breaking into the hold, seen from outside.</t>
  </si>
  <si>
    <t xml:space="preserve">768×384 per frame</t>
  </si>
  <si>
    <t xml:space="preserve">Plays during storm cards.</t>
  </si>
  <si>
    <t xml:space="preserve">res://art/weather_fx/wfx_04_green_water_over_the_gunwale_strip.png</t>
  </si>
  <si>
    <t xml:space="preserve">WFX-05</t>
  </si>
  <si>
    <t xml:space="preserve">Lightning bolts</t>
  </si>
  <si>
    <t xml:space="preserve">Two branching bolts from cloud to sea, plus a full-screen flash tint frame.</t>
  </si>
  <si>
    <t xml:space="preserve">600×1080</t>
  </si>
  <si>
    <t xml:space="preserve">2 bolts + 1 flash</t>
  </si>
  <si>
    <t xml:space="preserve">Additive.</t>
  </si>
  <si>
    <t xml:space="preserve">res://art/weather_fx/wfx_05_lightning_bolts.png</t>
  </si>
  <si>
    <t xml:space="preserve">WFX-06</t>
  </si>
  <si>
    <t xml:space="preserve">Wind streaks</t>
  </si>
  <si>
    <t xml:space="preserve">Long faint streaks showing wind direction and strength over the sea.</t>
  </si>
  <si>
    <t xml:space="preserve">Voyage, Hunt</t>
  </si>
  <si>
    <t xml:space="preserve">512×64</t>
  </si>
  <si>
    <t xml:space="preserve">Additive, low opacity. Also a visual twin for haptic wind cues.</t>
  </si>
  <si>
    <t xml:space="preserve">res://art/weather_fx/wfx_06_wind_streaks.png</t>
  </si>
  <si>
    <t xml:space="preserve">F32</t>
  </si>
  <si>
    <t xml:space="preserve">Tileable greyscale noise maps for the sea shimmer, sail billow, and grass sway shaders.</t>
  </si>
  <si>
    <t xml:space="preserve">Shader texture</t>
  </si>
  <si>
    <t xml:space="preserve">3 maps</t>
  </si>
  <si>
    <t xml:space="preserve">Seamless in both directions. Can be generated.</t>
  </si>
  <si>
    <t xml:space="preserve">res://art/weather_fx/wfx_07_water_and_wind_noise_textures.png</t>
  </si>
  <si>
    <t xml:space="preserve">The game's signature object: a wooden sighting ring about a hand-span across, carved with notches and worn smooth by thumbs, with a sighting bead on a cord. Seen close, held up against the night sky. It must feel like a real tool someone made.</t>
  </si>
  <si>
    <t xml:space="preserve">Centre pivot. Transparent centre so the sky shows through. The most-looked-at asset in the game; give it the most care.</t>
  </si>
  <si>
    <t xml:space="preserve">res://art/navigate/nav_01_star_ring_instrument.png</t>
  </si>
  <si>
    <t xml:space="preserve">The notch on the ring that lights up when the Pole Star is seated, plus a soft ring-rim brightening. This is the visual twin of the haptic seat cue.</t>
  </si>
  <si>
    <t xml:space="preserve">3 strengths</t>
  </si>
  <si>
    <t xml:space="preserve">Additive; aligned to the ring.</t>
  </si>
  <si>
    <t xml:space="preserve">res://art/navigate/nav_02_ring_notch_highlight_and_seat_glow.png</t>
  </si>
  <si>
    <t xml:space="preserve">Two weathered hands in wool sleeve cuffs gripping the ring from below, left and right separately.</t>
  </si>
  <si>
    <t xml:space="preserve">2 parts</t>
  </si>
  <si>
    <t xml:space="preserve">Pivots at the wrists so they can follow the ring.</t>
  </si>
  <si>
    <t xml:space="preserve">res://art/navigate/nav_03_hands_holding_the_ring.png</t>
  </si>
  <si>
    <t xml:space="preserve">The Pole Star as a small, clear, slightly larger glint, plus 12 star sprites of different brightness for the guide marks around it (the Plough, Cassiopeia).</t>
  </si>
  <si>
    <t xml:space="preserve">13 sprites</t>
  </si>
  <si>
    <t xml:space="preserve">Centre pivot. Code places them; each needs a soft twinkle variant (2 frames).</t>
  </si>
  <si>
    <t xml:space="preserve">res://art/navigate/nav_04_pole_star_and_star_marks.png</t>
  </si>
  <si>
    <t xml:space="preserve">A dark sea horizon seen through the ring, with a faint lighter sky edge, which the ring is levelled against.</t>
  </si>
  <si>
    <t xml:space="preserve">2 variants (clear, hazy)</t>
  </si>
  <si>
    <t xml:space="preserve">Code moves it with ship roll.</t>
  </si>
  <si>
    <t xml:space="preserve">res://art/navigate/nav_05_ring_horizon_line.png</t>
  </si>
  <si>
    <t xml:space="preserve">Three carved-wood result plaques: clean fix, partial fix, no fix. Small, readable, no text needed (text is in the line below).</t>
  </si>
  <si>
    <t xml:space="preserve">Star ring, Sun board</t>
  </si>
  <si>
    <t xml:space="preserve">Icon set</t>
  </si>
  <si>
    <t xml:space="preserve">3 icons</t>
  </si>
  <si>
    <t xml:space="preserve">res://art/navigate/nav_06_fix_result_marks.png</t>
  </si>
  <si>
    <t xml:space="preserve">A round wooden bearing dial seen from above, floated in a bowl of water to stay level, with a central gnomon pin and incised compass marks. Based on the Uunartoq disc find.</t>
  </si>
  <si>
    <t xml:space="preserve">Centre pivot; rotates in code.</t>
  </si>
  <si>
    <t xml:space="preserve">res://art/navigate/nav_07_sun_board_dial.png</t>
  </si>
  <si>
    <t xml:space="preserve">The scratched curves on the board that the shadow tip should touch at the right latitude; three curves (home, Markland, Vinland latitude).</t>
  </si>
  <si>
    <t xml:space="preserve">3 overlays</t>
  </si>
  <si>
    <t xml:space="preserve">Aligned to the dial.</t>
  </si>
  <si>
    <t xml:space="preserve">res://art/navigate/nav_08_gnomon_curve_inlays.png</t>
  </si>
  <si>
    <t xml:space="preserve">The gnomon's shadow as a soft stretched shape with a brighter tip glint (the visual twin of the haptic hum).</t>
  </si>
  <si>
    <t xml:space="preserve">Pivot at the gnomon base; code rotates and stretches it.</t>
  </si>
  <si>
    <t xml:space="preserve">res://art/navigate/nav_09_gnomon_shadow_and_tip_glint.png</t>
  </si>
  <si>
    <t xml:space="preserve">A small wooden marker peg, and the shallow wooden bowl of water the board floats in, seen from above with the deck blurred below.</t>
  </si>
  <si>
    <t xml:space="preserve">Bowl is the backdrop; peg is moved by the right stick.</t>
  </si>
  <si>
    <t xml:space="preserve">res://art/navigate/nav_10_sun_board_peg_and_water_bowl.png</t>
  </si>
  <si>
    <t xml:space="preserve">Split view for the hand line: the boat gunwale and sea surface in the top quarter, then cold green-blue coastal water with kelp, rocks, and a gravel bottom fading into darkness.</t>
  </si>
  <si>
    <t xml:space="preserve">2 variants (clear, fog-dimmed)</t>
  </si>
  <si>
    <t xml:space="preserve">Surface line at y = 260. Static.</t>
  </si>
  <si>
    <t xml:space="preserve">res://art/fish/fsh_01_underwater_cross_section.png</t>
  </si>
  <si>
    <t xml:space="preserve">F05</t>
  </si>
  <si>
    <t xml:space="preserve">Faint sediment and bubble streaks showing current direction underwater.</t>
  </si>
  <si>
    <t xml:space="preserve">Additive, low opacity.</t>
  </si>
  <si>
    <t xml:space="preserve">res://art/fish/fsh_02_current_streak_particles.png</t>
  </si>
  <si>
    <t xml:space="preserve">Foreground: the boat's edge with two hands paying out a line from a wooden winding frame.</t>
  </si>
  <si>
    <t xml:space="preserve">3 poses (hold, pay out, set)</t>
  </si>
  <si>
    <t xml:space="preserve">Bottom-left anchor. The line itself is drawn in code.</t>
  </si>
  <si>
    <t xml:space="preserve">res://art/fish/fsh_03_gunwale_and_hands_with_hand_line.png</t>
  </si>
  <si>
    <t xml:space="preserve">Bone or iron hook with a scrap of bait, and a grooved stone sinker.</t>
  </si>
  <si>
    <t xml:space="preserve">3 sprites</t>
  </si>
  <si>
    <t xml:space="preserve">Pivot at the line tie point.</t>
  </si>
  <si>
    <t xml:space="preserve">res://art/fish/fsh_04_hook_bait_and_sinker.png</t>
  </si>
  <si>
    <t xml:space="preserve">Atlantic cod: swim cycle, nose-in to the bait, the two-beat bite, hooked struggle, and landed on deck.</t>
  </si>
  <si>
    <t xml:space="preserve">Hand line, Net</t>
  </si>
  <si>
    <t xml:space="preserve">swim 8, bite 4, struggle 6, landed 2</t>
  </si>
  <si>
    <t xml:space="preserve">One sheet per animation, horizontal strips. Centre pivot.</t>
  </si>
  <si>
    <t xml:space="preserve">res://art/fish/fsh_05_cod_strip.png</t>
  </si>
  <si>
    <t xml:space="preserve">FSH-06</t>
  </si>
  <si>
    <t xml:space="preserve">Salmon and Arctic char</t>
  </si>
  <si>
    <t xml:space="preserve">River-run salmon and a smaller char, each with swim and hooked frames, for river-mouth fishing.</t>
  </si>
  <si>
    <t xml:space="preserve">320×140 per frame</t>
  </si>
  <si>
    <t xml:space="preserve">swim 8, struggle 6 each</t>
  </si>
  <si>
    <t xml:space="preserve">res://art/fish/fsh_06_salmon_and_arctic_char_strip.png</t>
  </si>
  <si>
    <t xml:space="preserve">F14</t>
  </si>
  <si>
    <t xml:space="preserve">FSH-07</t>
  </si>
  <si>
    <t xml:space="preserve">Halibut</t>
  </si>
  <si>
    <t xml:space="preserve">A big flatfish rising off the bottom; a heavy, slow struggle. The rare catch.</t>
  </si>
  <si>
    <t xml:space="preserve">400×240 per frame</t>
  </si>
  <si>
    <t xml:space="preserve">swim 6, struggle 6</t>
  </si>
  <si>
    <t xml:space="preserve">res://art/fish/fsh_07_halibut_strip.png</t>
  </si>
  <si>
    <t xml:space="preserve">FSH-08</t>
  </si>
  <si>
    <t xml:space="preserve">Fish school</t>
  </si>
  <si>
    <t xml:space="preserve">A loose school of capelin or herring that tightens and turns, seen from above in shallow water; it darkens the surface when under the boat.</t>
  </si>
  <si>
    <t xml:space="preserve">Loop. Also the visual twin of the haptic net weight.</t>
  </si>
  <si>
    <t xml:space="preserve">res://art/fish/fsh_08_fish_school_strip.png</t>
  </si>
  <si>
    <t xml:space="preserve">FSH-09</t>
  </si>
  <si>
    <t xml:space="preserve">Shallow water from above</t>
  </si>
  <si>
    <t xml:space="preserve">Top-down three-quarter view over the side of the boat into shallow water: rippled surface, sandy bottom patches, kelp.</t>
  </si>
  <si>
    <t xml:space="preserve">2 variants (clear, rain)</t>
  </si>
  <si>
    <t xml:space="preserve">Static.</t>
  </si>
  <si>
    <t xml:space="preserve">res://art/fish/fsh_09_shallow_water_from_above.png</t>
  </si>
  <si>
    <t xml:space="preserve">FSH-10</t>
  </si>
  <si>
    <t xml:space="preserve">Net throw arc</t>
  </si>
  <si>
    <t xml:space="preserve">A cast net opening in the air and spreading as it lands, then sinking.</t>
  </si>
  <si>
    <t xml:space="preserve">640×640 per frame</t>
  </si>
  <si>
    <t xml:space="preserve">Centre pivot at the landing point.</t>
  </si>
  <si>
    <t xml:space="preserve">res://art/fish/fsh_10_net_throw_arc_strip.png</t>
  </si>
  <si>
    <t xml:space="preserve">FSH-11</t>
  </si>
  <si>
    <t xml:space="preserve">Net hauled: empty and full</t>
  </si>
  <si>
    <t xml:space="preserve">The net drawn back to the gunwale: hanging empty and dripping, or bulging with silver fish.</t>
  </si>
  <si>
    <t xml:space="preserve">600×500</t>
  </si>
  <si>
    <t xml:space="preserve">Bottom pivot.</t>
  </si>
  <si>
    <t xml:space="preserve">res://art/fish/fsh_11_net_hauled_empty_and_full.png</t>
  </si>
  <si>
    <t xml:space="preserve">HNT-01</t>
  </si>
  <si>
    <t xml:space="preserve">Stalk scene: far layer</t>
  </si>
  <si>
    <t xml:space="preserve">Distant low hills, scattered spruce, and open sky over a wide meadow, low contrast.</t>
  </si>
  <si>
    <t xml:space="preserve">Parallax layer</t>
  </si>
  <si>
    <t xml:space="preserve">3840×700</t>
  </si>
  <si>
    <t xml:space="preserve">Horizontal scroll at 0.2× camera speed.</t>
  </si>
  <si>
    <t xml:space="preserve">res://art/hunt/hnt_01_stalk_scene_far_layer.png</t>
  </si>
  <si>
    <t xml:space="preserve">F12</t>
  </si>
  <si>
    <t xml:space="preserve">HNT-02</t>
  </si>
  <si>
    <t xml:space="preserve">Stalk scene: mid layer</t>
  </si>
  <si>
    <t xml:space="preserve">Mid-distance meadow with bushes, boulders, and a stand of trees where the animal grazes.</t>
  </si>
  <si>
    <t xml:space="preserve">3840×800</t>
  </si>
  <si>
    <t xml:space="preserve">Scroll at 0.5×.</t>
  </si>
  <si>
    <t xml:space="preserve">res://art/hunt/hnt_02_stalk_scene_mid_layer.png</t>
  </si>
  <si>
    <t xml:space="preserve">HNT-03</t>
  </si>
  <si>
    <t xml:space="preserve">Stalk scene: near grass strips</t>
  </si>
  <si>
    <t xml:space="preserve">Three strips of tall grass and sedge in the foreground that the hunter moves through; they sway in wind and hide the hunter when crouched.</t>
  </si>
  <si>
    <t xml:space="preserve">3 strips</t>
  </si>
  <si>
    <t xml:space="preserve">Scroll at 1.0–1.3×. Edges clean for the sway shader.</t>
  </si>
  <si>
    <t xml:space="preserve">res://art/hunt/hnt_03_stalk_scene_near_grass_strips.png</t>
  </si>
  <si>
    <t xml:space="preserve">HNT-04</t>
  </si>
  <si>
    <t xml:space="preserve">Caribou</t>
  </si>
  <si>
    <t xml:space="preserve">Caribou (the deer the sagas mention): graze, head up, ear flick when alert, startle, flee, and a fall when hit that shows no wound.</t>
  </si>
  <si>
    <t xml:space="preserve">420×320 per frame</t>
  </si>
  <si>
    <t xml:space="preserve">graze 8, alert 4, ear flick 3, flee 8, fall 6</t>
  </si>
  <si>
    <t xml:space="preserve">Side view, centre-bottom pivot. Ear flick is the visual twin of the alert heartbeat.</t>
  </si>
  <si>
    <t xml:space="preserve">res://art/hunt/hnt_04_caribou_strip.png</t>
  </si>
  <si>
    <t xml:space="preserve">HNT-05</t>
  </si>
  <si>
    <t xml:space="preserve">Ground birds and waterfowl</t>
  </si>
  <si>
    <t xml:space="preserve">Eider ducks and ptarmigan: idle, walk, take-off flock, and a fall frame.</t>
  </si>
  <si>
    <t xml:space="preserve">Hunt, Forage</t>
  </si>
  <si>
    <t xml:space="preserve">160×120 per frame</t>
  </si>
  <si>
    <t xml:space="preserve">idle 4, walk 6, take-off 8, fall 3</t>
  </si>
  <si>
    <t xml:space="preserve">Centre-bottom pivot.</t>
  </si>
  <si>
    <t xml:space="preserve">res://art/hunt/hnt_05_ground_birds_and_waterfowl_strip.png</t>
  </si>
  <si>
    <t xml:space="preserve">HNT-06</t>
  </si>
  <si>
    <t xml:space="preserve">Hunter character (side view)</t>
  </si>
  <si>
    <t xml:space="preserve">The crew hunter in a hooded wool tunic with a short bow and quiver: walk, crouch-walk, draw and hold, loose, lower bow, startle.</t>
  </si>
  <si>
    <t xml:space="preserve">Cutout rig parts + animations</t>
  </si>
  <si>
    <t xml:space="preserve">360×420 bounding</t>
  </si>
  <si>
    <t xml:space="preserve">walk, crouch-walk, draw, hold, loose, lower</t>
  </si>
  <si>
    <t xml:space="preserve">Godot Skeleton2D cutout: deliver separate parts (head, torso, upper and lower arms, hands, legs, bow, quiver) on one canvas with pivots marked. Hunt scale (about 340 px tall).</t>
  </si>
  <si>
    <t xml:space="preserve">res://art/hunt/hnt_06_hunter_character/  (one PNG per part)</t>
  </si>
  <si>
    <t xml:space="preserve">HNT-07</t>
  </si>
  <si>
    <t xml:space="preserve">Arrow and bowstring</t>
  </si>
  <si>
    <t xml:space="preserve">Arrow in flight, an arrow stuck in the ground, and a bowstring tension highlight for full draw.</t>
  </si>
  <si>
    <t xml:space="preserve">160×24 arrow</t>
  </si>
  <si>
    <t xml:space="preserve">Arrow pivot at the nock.</t>
  </si>
  <si>
    <t xml:space="preserve">res://art/hunt/hnt_07_arrow_and_bowstring.png</t>
  </si>
  <si>
    <t xml:space="preserve">HNT-08</t>
  </si>
  <si>
    <t xml:space="preserve">Wound and miss marks</t>
  </si>
  <si>
    <t xml:space="preserve">Non-gory feedback: a puff of fur and dust on a hit, a clod of turf on a miss.</t>
  </si>
  <si>
    <t xml:space="preserve">hit 5, miss 5</t>
  </si>
  <si>
    <t xml:space="preserve">No blood. Tone guide: "no gore gallery".</t>
  </si>
  <si>
    <t xml:space="preserve">res://art/hunt/hnt_08_wound_and_miss_marks_strip.png</t>
  </si>
  <si>
    <t xml:space="preserve">FOR-01</t>
  </si>
  <si>
    <t xml:space="preserve">Berry patch (top-down)</t>
  </si>
  <si>
    <t xml:space="preserve">Close top-down view of low heath with blueberry and partridgeberry clumps among moss, lichen, and stones.</t>
  </si>
  <si>
    <t xml:space="preserve">3 states (healthy, thinned, stripped)</t>
  </si>
  <si>
    <t xml:space="preserve">Same framing in all states so they cross-fade.</t>
  </si>
  <si>
    <t xml:space="preserve">res://art/forage/for_01_berry_patch.png</t>
  </si>
  <si>
    <t xml:space="preserve">F13</t>
  </si>
  <si>
    <t xml:space="preserve">FOR-02</t>
  </si>
  <si>
    <t xml:space="preserve">Wild grain patch (top-down)</t>
  </si>
  <si>
    <t xml:space="preserve">Self-sown wild grain (lyme grass) heads among coastal grass, with bare sand between clumps.</t>
  </si>
  <si>
    <t xml:space="preserve">res://art/forage/for_02_wild_grain_patch.png</t>
  </si>
  <si>
    <t xml:space="preserve">FOR-03</t>
  </si>
  <si>
    <t xml:space="preserve">Shore patch: mussels and kelp</t>
  </si>
  <si>
    <t xml:space="preserve">Low-tide rocks with mussel beds, kelp, and tide pools from above.</t>
  </si>
  <si>
    <t xml:space="preserve">res://art/forage/for_03_shore_patch_mussels_and_kelp.png</t>
  </si>
  <si>
    <t xml:space="preserve">FOR-04</t>
  </si>
  <si>
    <t xml:space="preserve">Bird cliff egg ledges</t>
  </si>
  <si>
    <t xml:space="preserve">Ledges of a bird island crowded with nests and eggs; birds rise when the forager is greedy or loud.</t>
  </si>
  <si>
    <t xml:space="preserve">Pairs with the seabird flock sheet for the noise meter.</t>
  </si>
  <si>
    <t xml:space="preserve">res://art/forage/for_04_bird_cliff_egg_ledges.png</t>
  </si>
  <si>
    <t xml:space="preserve">FOR-05</t>
  </si>
  <si>
    <t xml:space="preserve">Vine and grape clusters (Hóp)</t>
  </si>
  <si>
    <t xml:space="preserve">Wild grape vines with small dark clusters, the find that names Vinland, for the Hóp forage patch.</t>
  </si>
  <si>
    <t xml:space="preserve">Overlay on a patch; only at Hóp.</t>
  </si>
  <si>
    <t xml:space="preserve">res://art/forage/for_05_vine_and_grape_clusters.png</t>
  </si>
  <si>
    <t xml:space="preserve">FOR-06</t>
  </si>
  <si>
    <t xml:space="preserve">Forage pickups</t>
  </si>
  <si>
    <t xml:space="preserve">Individual items the hand picks: berries, grain heads, mussels, eggs, angelica stems, and roots.</t>
  </si>
  <si>
    <t xml:space="preserve">6 items × 2 sizes</t>
  </si>
  <si>
    <t xml:space="preserve">res://art/forage/for_06_forage_pickups.png</t>
  </si>
  <si>
    <t xml:space="preserve">FOR-07</t>
  </si>
  <si>
    <t xml:space="preserve">Reaching hand</t>
  </si>
  <si>
    <t xml:space="preserve">A hand seen from above reaching, closing on an item, and pulling back.</t>
  </si>
  <si>
    <t xml:space="preserve">reach 4, grab 3</t>
  </si>
  <si>
    <t xml:space="preserve">Pivot at the wrist.</t>
  </si>
  <si>
    <t xml:space="preserve">res://art/forage/for_07_reaching_hand_strip.png</t>
  </si>
  <si>
    <t xml:space="preserve">FOR-08</t>
  </si>
  <si>
    <t xml:space="preserve">Basket (top-down)</t>
  </si>
  <si>
    <t xml:space="preserve">Woven basket seen from above, in five fill states from empty to heaped; the visual twin of the take tick.</t>
  </si>
  <si>
    <t xml:space="preserve">360×360</t>
  </si>
  <si>
    <t xml:space="preserve">Centre pivot; bottom-right of the screen.</t>
  </si>
  <si>
    <t xml:space="preserve">res://art/forage/for_08_basket.png</t>
  </si>
  <si>
    <t xml:space="preserve">Close-up of a trestle with a squared timber, a drilled hole, and wood shavings, seen at a low three-quarter angle.</t>
  </si>
  <si>
    <t xml:space="preserve">2 variants (dry, rain-darkened)</t>
  </si>
  <si>
    <t xml:space="preserve">Static; the log and peg are separate.</t>
  </si>
  <si>
    <t xml:space="preserve">res://art/build/bld_01_joint_workbench_close_up.png</t>
  </si>
  <si>
    <t xml:space="preserve">F07</t>
  </si>
  <si>
    <t xml:space="preserve">The working timber in three woods (spruce, birch, larch driftwood), each with visible grain lines and a mortise hole.</t>
  </si>
  <si>
    <t xml:space="preserve">3 woods</t>
  </si>
  <si>
    <t xml:space="preserve">The grain lines are a separate layer so code can tint them red when the drive is cross-grain (visual twin).</t>
  </si>
  <si>
    <t xml:space="preserve">res://art/build/bld_02_timber_pieces_with_grain.png</t>
  </si>
  <si>
    <t xml:space="preserve">A wooden peg in three states: loose, half driven, fully seated flush.</t>
  </si>
  <si>
    <t xml:space="preserve">Pivot at the peg tip.</t>
  </si>
  <si>
    <t xml:space="preserve">res://art/build/bld_03_treenail_peg.png</t>
  </si>
  <si>
    <t xml:space="preserve">A wooden mallet in a gripping hand with the other hand bracing, in raised and struck positions.</t>
  </si>
  <si>
    <t xml:space="preserve">raise 3, strike 3</t>
  </si>
  <si>
    <t xml:space="preserve">res://art/build/bld_04_mallet_and_hands.png</t>
  </si>
  <si>
    <t xml:space="preserve">The timber cracked along the grain with a long split; a failure state.</t>
  </si>
  <si>
    <t xml:space="preserve">1 per wood</t>
  </si>
  <si>
    <t xml:space="preserve">Swaps in for the timber piece.</t>
  </si>
  <si>
    <t xml:space="preserve">res://art/build/bld_05_split_log_state.png</t>
  </si>
  <si>
    <t xml:space="preserve">Small chips and a dust puff on each mallet strike.</t>
  </si>
  <si>
    <t xml:space="preserve">Joint, Lift</t>
  </si>
  <si>
    <t xml:space="preserve">6 frames</t>
  </si>
  <si>
    <t xml:space="preserve">res://art/build/bld_06_wood_chips_and_dust_strip.png</t>
  </si>
  <si>
    <t xml:space="preserve">BLD-07</t>
  </si>
  <si>
    <t xml:space="preserve">Lift scene: frame and hauling crew</t>
  </si>
  <si>
    <t xml:space="preserve">Side view of shear legs with a rope and block lifting a heavy timber into place against a half-built wall, four crew hauling on the rope.</t>
  </si>
  <si>
    <t xml:space="preserve">Background plate + rig</t>
  </si>
  <si>
    <t xml:space="preserve">background + 4 hauler poses (lean, heave, slip, rest)</t>
  </si>
  <si>
    <t xml:space="preserve">Haulers as cutout parts or 4-pose sheets; rope drawn in code.</t>
  </si>
  <si>
    <t xml:space="preserve">res://art/build/bld_07_lift_scene_frame_and_hauling_crew.png</t>
  </si>
  <si>
    <t xml:space="preserve">BLD-08</t>
  </si>
  <si>
    <t xml:space="preserve">Lifted timbers</t>
  </si>
  <si>
    <t xml:space="preserve">A wall beam, a ridge beam, and the mast being raised, each swinging on the rope.</t>
  </si>
  <si>
    <t xml:space="preserve">1200×200 beams, 200×1000 mast</t>
  </si>
  <si>
    <t xml:space="preserve">3 pieces</t>
  </si>
  <si>
    <t xml:space="preserve">Pivot at the rope point.</t>
  </si>
  <si>
    <t xml:space="preserve">res://art/build/bld_08_lifted_timbers.png</t>
  </si>
  <si>
    <t xml:space="preserve">BLD-09</t>
  </si>
  <si>
    <t xml:space="preserve">Slipway surf and log rollers</t>
  </si>
  <si>
    <t xml:space="preserve">Log rollers on the shingle with surf washing up between them, for lifting at the slipway.</t>
  </si>
  <si>
    <t xml:space="preserve">1920×400</t>
  </si>
  <si>
    <t xml:space="preserve">8-frame surf loop</t>
  </si>
  <si>
    <t xml:space="preserve">Bottom-anchored.</t>
  </si>
  <si>
    <t xml:space="preserve">res://art/build/bld_09_slipway_surf_and_log_rollers.png</t>
  </si>
  <si>
    <t xml:space="preserve">BLD-10</t>
  </si>
  <si>
    <t xml:space="preserve">Cracked timber state</t>
  </si>
  <si>
    <t xml:space="preserve">A beam with a long crack and splinters, for a failed lift.</t>
  </si>
  <si>
    <t xml:space="preserve">1200×200</t>
  </si>
  <si>
    <t xml:space="preserve">Swaps in for a lifted beam.</t>
  </si>
  <si>
    <t xml:space="preserve">res://art/build/bld_10_cracked_timber_state.png</t>
  </si>
  <si>
    <t xml:space="preserve">BLD-11</t>
  </si>
  <si>
    <t xml:space="preserve">Smoke rack close-up</t>
  </si>
  <si>
    <t xml:space="preserve">A wooden drying rack of split fish over a low fire pit, seen close and slightly from below.</t>
  </si>
  <si>
    <t xml:space="preserve">Fire and smoke are separate.</t>
  </si>
  <si>
    <t xml:space="preserve">res://art/build/bld_11_smoke_rack_close_up.png</t>
  </si>
  <si>
    <t xml:space="preserve">F15</t>
  </si>
  <si>
    <t xml:space="preserve">BLD-12</t>
  </si>
  <si>
    <t xml:space="preserve">Fire pit flames</t>
  </si>
  <si>
    <t xml:space="preserve">Fire at three heats: low smoulder, good steady fire, too hot with leaping flames.</t>
  </si>
  <si>
    <t xml:space="preserve">Smoke rack, Camp</t>
  </si>
  <si>
    <t xml:space="preserve">256×320 per frame</t>
  </si>
  <si>
    <t xml:space="preserve">8 frames × 3 heats</t>
  </si>
  <si>
    <t xml:space="preserve">Bottom pivot. Loops.</t>
  </si>
  <si>
    <t xml:space="preserve">res://art/build/bld_12_fire_pit_flames_strip.png</t>
  </si>
  <si>
    <t xml:space="preserve">BLD-13</t>
  </si>
  <si>
    <t xml:space="preserve">Smoke column</t>
  </si>
  <si>
    <t xml:space="preserve">A rising smoke column whose colour shifts from thin white (good) to grey to black (too hot); it bends when the wind shoves it.</t>
  </si>
  <si>
    <t xml:space="preserve">256×768 per frame</t>
  </si>
  <si>
    <t xml:space="preserve">8 frames × 3 colours</t>
  </si>
  <si>
    <t xml:space="preserve">Bottom pivot. The colour shift is the visual twin of the haptic warmth ramp.</t>
  </si>
  <si>
    <t xml:space="preserve">res://art/build/bld_13_smoke_column_strip.png</t>
  </si>
  <si>
    <t xml:space="preserve">BLD-14</t>
  </si>
  <si>
    <t xml:space="preserve">Fish on the rack</t>
  </si>
  <si>
    <t xml:space="preserve">Split fish in four states: fresh and wet, drying, fully dried (stockfish), and spoiled.</t>
  </si>
  <si>
    <t xml:space="preserve">160×320</t>
  </si>
  <si>
    <t xml:space="preserve">Top pivot (they hang).</t>
  </si>
  <si>
    <t xml:space="preserve">res://art/build/bld_14_fish_on_the_rack.png</t>
  </si>
  <si>
    <t xml:space="preserve">BAL-01</t>
  </si>
  <si>
    <t xml:space="preserve">Hull interior in a storm</t>
  </si>
  <si>
    <t xml:space="preserve">Inside the open hold looking aft: ribs and strakes, lashed cargo under hides, crew braced, grey storm light from above, water sloshing in the bilge.</t>
  </si>
  <si>
    <t xml:space="preserve">Static; water level is a separate layer.</t>
  </si>
  <si>
    <t xml:space="preserve">res://art/storm_bail/bal_01_hull_interior_in_a_storm.png</t>
  </si>
  <si>
    <t xml:space="preserve">BAL-02</t>
  </si>
  <si>
    <t xml:space="preserve">Bilge water level</t>
  </si>
  <si>
    <t xml:space="preserve">Sloshing water surface strip that rises and falls inside the hold.</t>
  </si>
  <si>
    <t xml:space="preserve">8-frame loop</t>
  </si>
  <si>
    <t xml:space="preserve">Code sets its height from the water amount.</t>
  </si>
  <si>
    <t xml:space="preserve">res://art/storm_bail/bal_02_bilge_water_level.png</t>
  </si>
  <si>
    <t xml:space="preserve">BAL-03</t>
  </si>
  <si>
    <t xml:space="preserve">Bailer and bailing crew</t>
  </si>
  <si>
    <t xml:space="preserve">A wooden bailing scoop in two hands, with scoop, lift, and throw poses; two background crew bailing in rhythm.</t>
  </si>
  <si>
    <t xml:space="preserve">600×600 per frame</t>
  </si>
  <si>
    <t xml:space="preserve">scoop 3, lift 3, throw 3</t>
  </si>
  <si>
    <t xml:space="preserve">The rhythm is the visual twin of the wave-set rumble.</t>
  </si>
  <si>
    <t xml:space="preserve">res://art/storm_bail/bal_03_bailer_and_bailing_crew_strip.png</t>
  </si>
  <si>
    <t xml:space="preserve">BAL-04</t>
  </si>
  <si>
    <t xml:space="preserve">Wave over the side (interior)</t>
  </si>
  <si>
    <t xml:space="preserve">A wave crashing over the gunwale into the hold, seen from inside.</t>
  </si>
  <si>
    <t xml:space="preserve">1920×700 per frame</t>
  </si>
  <si>
    <t xml:space="preserve">Top-anchored.</t>
  </si>
  <si>
    <t xml:space="preserve">res://art/storm_bail/bal_04_wave_over_the_side_strip.png</t>
  </si>
  <si>
    <t xml:space="preserve">BAL-05</t>
  </si>
  <si>
    <t xml:space="preserve">Leak jet and lost cask</t>
  </si>
  <si>
    <t xml:space="preserve">Water jetting through a sprung strake, and a cask breaking loose and going over the side.</t>
  </si>
  <si>
    <t xml:space="preserve">400×300 per frame</t>
  </si>
  <si>
    <t xml:space="preserve">jet 6, cask 8</t>
  </si>
  <si>
    <t xml:space="preserve">res://art/storm_bail/bal_05_leak_jet_and_lost_cask_strip.png</t>
  </si>
  <si>
    <t xml:space="preserve">BAL-06</t>
  </si>
  <si>
    <t xml:space="preserve">Bailing metronome and water line</t>
  </si>
  <si>
    <t xml:space="preserve">The no-haptic twin: a small carved bucket icon that swings in time, and a painted water-line mark on a rib.</t>
  </si>
  <si>
    <t xml:space="preserve">UI sprite</t>
  </si>
  <si>
    <t xml:space="preserve">2 sprites</t>
  </si>
  <si>
    <t xml:space="preserve">Shown when haptics are off.</t>
  </si>
  <si>
    <t xml:space="preserve">res://art/storm_bail/bal_06_bailing_metronome_and_water_line.png</t>
  </si>
  <si>
    <t xml:space="preserve">The colony site seen side-on as a wide diorama: grassy terrace, the brook, the bog edge, the shingle shore on the right with the sea beyond. Empty build plots marked by flat ground.</t>
  </si>
  <si>
    <t xml:space="preserve">Camera pans across it. Build plots at fixed x positions (see Scenes). Horizon at y = 540.</t>
  </si>
  <si>
    <t xml:space="preserve">res://art/camp/cmp_01_camp_ground_summer.png</t>
  </si>
  <si>
    <t xml:space="preserve">CMP-02</t>
  </si>
  <si>
    <t xml:space="preserve">Camp ground: late summer (hay)</t>
  </si>
  <si>
    <t xml:space="preserve">The same view with tall golden grass ready to cut and hay drying in rows.</t>
  </si>
  <si>
    <t xml:space="preserve">Same framing as summer.</t>
  </si>
  <si>
    <t xml:space="preserve">res://art/camp/cmp_02_camp_ground_late_summer.png</t>
  </si>
  <si>
    <t xml:space="preserve">CMP-03</t>
  </si>
  <si>
    <t xml:space="preserve">Camp ground: autumn</t>
  </si>
  <si>
    <t xml:space="preserve">Browning grass, wet ground, heavier sea, fewer leaves on the birches.</t>
  </si>
  <si>
    <t xml:space="preserve">Same framing.</t>
  </si>
  <si>
    <t xml:space="preserve">res://art/camp/cmp_03_camp_ground_autumn.png</t>
  </si>
  <si>
    <t xml:space="preserve">CMP-04</t>
  </si>
  <si>
    <t xml:space="preserve">Camp ground: winter</t>
  </si>
  <si>
    <t xml:space="preserve">Snow cover with drifts against everything, frozen brook, ice along the shore.</t>
  </si>
  <si>
    <t xml:space="preserve">res://art/camp/cmp_04_camp_ground_winter.png</t>
  </si>
  <si>
    <t xml:space="preserve">CMP-05</t>
  </si>
  <si>
    <t xml:space="preserve">Camp ground: spring thaw</t>
  </si>
  <si>
    <t xml:space="preserve">Patchy snow, mud, brown grass greening at the edges, meltwater running.</t>
  </si>
  <si>
    <t xml:space="preserve">res://art/camp/cmp_05_camp_ground_spring_thaw.png</t>
  </si>
  <si>
    <t xml:space="preserve">Low hills and forest edge behind the camp, in summer and winter versions.</t>
  </si>
  <si>
    <t xml:space="preserve">2 seasons</t>
  </si>
  <si>
    <t xml:space="preserve">Scrolls at 0.6×.</t>
  </si>
  <si>
    <t xml:space="preserve">res://art/camp/cmp_06_camp_far_hills_layer.png</t>
  </si>
  <si>
    <t xml:space="preserve">Temporary turf-and-timber booth with a hide or sail-cloth roof: plot marked, frame up, finished, and storm-damaged.</t>
  </si>
  <si>
    <t xml:space="preserve">Building sprite</t>
  </si>
  <si>
    <t xml:space="preserve">4 stages</t>
  </si>
  <si>
    <t xml:space="preserve">Bottom-centre pivot on the plot line.</t>
  </si>
  <si>
    <t xml:space="preserve">res://art/camp/cmp_07_booth.png</t>
  </si>
  <si>
    <t xml:space="preserve">F17</t>
  </si>
  <si>
    <t xml:space="preserve">CMP-08</t>
  </si>
  <si>
    <t xml:space="preserve">Longhouse</t>
  </si>
  <si>
    <t xml:space="preserve">The hall: thick turf walls on a timber frame, a turf roof, a smoke hole, a single door. Plot marked, timber frame, walls rising, complete, snowed in.</t>
  </si>
  <si>
    <t xml:space="preserve">1100×420</t>
  </si>
  <si>
    <t xml:space="preserve">5 stages</t>
  </si>
  <si>
    <t xml:space="preserve">Bottom-centre pivot. The frame stage must match the lift scene.</t>
  </si>
  <si>
    <t xml:space="preserve">res://art/camp/cmp_08_longhouse.png</t>
  </si>
  <si>
    <t xml:space="preserve">CMP-09</t>
  </si>
  <si>
    <t xml:space="preserve">Byre</t>
  </si>
  <si>
    <t xml:space="preserve">Cow shed with turf walls, stall partitions visible through the door, a hay loft: plot, frame, complete, snowed in.</t>
  </si>
  <si>
    <t xml:space="preserve">700×360</t>
  </si>
  <si>
    <t xml:space="preserve">Bottom-centre pivot.</t>
  </si>
  <si>
    <t xml:space="preserve">res://art/camp/cmp_09_byre.png</t>
  </si>
  <si>
    <t xml:space="preserve">CMP-10</t>
  </si>
  <si>
    <t xml:space="preserve">Boat shed and slipway</t>
  </si>
  <si>
    <t xml:space="preserve">Long open-ended boat shed (naust) above the shingle, with the slipway running down to the water: plot, frame, complete.</t>
  </si>
  <si>
    <t xml:space="preserve">1500×450</t>
  </si>
  <si>
    <t xml:space="preserve">3 stages</t>
  </si>
  <si>
    <t xml:space="preserve">Right end of the camp, at the shore.</t>
  </si>
  <si>
    <t xml:space="preserve">res://art/camp/cmp_10_boat_shed_and_slipway.png</t>
  </si>
  <si>
    <t xml:space="preserve">CMP-11</t>
  </si>
  <si>
    <t xml:space="preserve">Palisade</t>
  </si>
  <si>
    <t xml:space="preserve">Sharpened-stake palisade segments, straight and corner, plus a gate. Building it raises fear.</t>
  </si>
  <si>
    <t xml:space="preserve">300×260 per segment</t>
  </si>
  <si>
    <t xml:space="preserve">3 pieces × 2 stages</t>
  </si>
  <si>
    <t xml:space="preserve">Tileable along the camp edge.</t>
  </si>
  <si>
    <t xml:space="preserve">res://art/camp/cmp_11_palisade.png</t>
  </si>
  <si>
    <t xml:space="preserve">F19</t>
  </si>
  <si>
    <t xml:space="preserve">CMP-12</t>
  </si>
  <si>
    <t xml:space="preserve">Smoke rack (camp scale)</t>
  </si>
  <si>
    <t xml:space="preserve">The drying rack at camp scale, empty, half-loaded, and full.</t>
  </si>
  <si>
    <t xml:space="preserve">360×300</t>
  </si>
  <si>
    <t xml:space="preserve">Fire uses the fire pit sheet scaled down.</t>
  </si>
  <si>
    <t xml:space="preserve">res://art/camp/cmp_12_smoke_rack.png</t>
  </si>
  <si>
    <t xml:space="preserve">CMP-13</t>
  </si>
  <si>
    <t xml:space="preserve">Smithy hut</t>
  </si>
  <si>
    <t xml:space="preserve">A small turf hut with a forge for bog iron (the site had one), with a glow at the door when working.</t>
  </si>
  <si>
    <t xml:space="preserve">Optional building.</t>
  </si>
  <si>
    <t xml:space="preserve">res://art/camp/cmp_13_smithy_hut.png</t>
  </si>
  <si>
    <t xml:space="preserve">CMP-14</t>
  </si>
  <si>
    <t xml:space="preserve">Haystacks</t>
  </si>
  <si>
    <t xml:space="preserve">Hay drying racks and stacks in four sizes, from a few rows to a winter's supply. Shows how much hay there is at a glance.</t>
  </si>
  <si>
    <t xml:space="preserve">300×260</t>
  </si>
  <si>
    <t xml:space="preserve">4 sizes</t>
  </si>
  <si>
    <t xml:space="preserve">res://art/camp/cmp_14_haystacks.png</t>
  </si>
  <si>
    <t xml:space="preserve">CMP-15</t>
  </si>
  <si>
    <t xml:space="preserve">Timber stack</t>
  </si>
  <si>
    <t xml:space="preserve">Seasoned timber stacked for the return cargo; seven states from 0 to 6+ units so the player can count it.</t>
  </si>
  <si>
    <t xml:space="preserve">7 states</t>
  </si>
  <si>
    <t xml:space="preserve">Bottom pivot by the boat shed.</t>
  </si>
  <si>
    <t xml:space="preserve">res://art/camp/cmp_15_timber_stack.png</t>
  </si>
  <si>
    <t xml:space="preserve">F25</t>
  </si>
  <si>
    <t xml:space="preserve">Cooking fire with a soapstone pot, firewood pile, warp-weighted loom, casks and chests, tool rack, drying hides on a frame, a sledge.</t>
  </si>
  <si>
    <t xml:space="preserve">10 props</t>
  </si>
  <si>
    <t xml:space="preserve">res://art/camp/cmp_16_camp_props.png</t>
  </si>
  <si>
    <t xml:space="preserve">CMP-17</t>
  </si>
  <si>
    <t xml:space="preserve">Cairn</t>
  </si>
  <si>
    <t xml:space="preserve">A small stone cairn with a wooden marker; added for each death. Quiet and respectful.</t>
  </si>
  <si>
    <t xml:space="preserve">160×140</t>
  </si>
  <si>
    <t xml:space="preserve">res://art/camp/cmp_17_cairn.png</t>
  </si>
  <si>
    <t xml:space="preserve">F46</t>
  </si>
  <si>
    <t xml:space="preserve">CMP-18</t>
  </si>
  <si>
    <t xml:space="preserve">Snow drift and frost overlays</t>
  </si>
  <si>
    <t xml:space="preserve">Snow caps for each building's roof and drifts against walls; frost rime for winter mornings.</t>
  </si>
  <si>
    <t xml:space="preserve">matches each building</t>
  </si>
  <si>
    <t xml:space="preserve">1 per building</t>
  </si>
  <si>
    <t xml:space="preserve">Aligned to each complete building.</t>
  </si>
  <si>
    <t xml:space="preserve">res://art/camp/cmp_18_snow_drift_and_frost_overlays.png</t>
  </si>
  <si>
    <t xml:space="preserve">Small carved wooden pegs marking where today's jobs are on the camp ground, with a highlighted state.</t>
  </si>
  <si>
    <t xml:space="preserve">res://art/camp/cmp_19_job_markers.png</t>
  </si>
  <si>
    <t xml:space="preserve">ANI-01</t>
  </si>
  <si>
    <t xml:space="preserve">Bull</t>
  </si>
  <si>
    <t xml:space="preserve">A powerful dark Norse bull with short horns: idle, walk, graze, agitated (head down, pawing), and charging. The bull is a trade risk; when loose he must look dangerous.</t>
  </si>
  <si>
    <t xml:space="preserve">Camp, Market, Voyage</t>
  </si>
  <si>
    <t xml:space="preserve">420×300 per frame</t>
  </si>
  <si>
    <t xml:space="preserve">idle 4, walk 8, graze 6, agitated 6, charge 8</t>
  </si>
  <si>
    <t xml:space="preserve">Side view, bottom-centre pivot. Camp scale.</t>
  </si>
  <si>
    <t xml:space="preserve">res://art/animals/ani_01_bull_strip.png</t>
  </si>
  <si>
    <t xml:space="preserve">F21</t>
  </si>
  <si>
    <t xml:space="preserve">ANI-02</t>
  </si>
  <si>
    <t xml:space="preserve">Cow</t>
  </si>
  <si>
    <t xml:space="preserve">Small hardy cow, light dun or red: idle, walk, graze, being milked, lying down; plus a thin winter variant.</t>
  </si>
  <si>
    <t xml:space="preserve">360×260 per frame</t>
  </si>
  <si>
    <t xml:space="preserve">idle 4, walk 8, graze 6, milked 4, lie 3</t>
  </si>
  <si>
    <t xml:space="preserve">As above. Thin variant as a separate palette swap or sheet.</t>
  </si>
  <si>
    <t xml:space="preserve">res://art/animals/ani_02_cow_strip.png</t>
  </si>
  <si>
    <t xml:space="preserve">ANI-03</t>
  </si>
  <si>
    <t xml:space="preserve">Calf</t>
  </si>
  <si>
    <t xml:space="preserve">A calf that follows a cow: idle and walk.</t>
  </si>
  <si>
    <t xml:space="preserve">220×180 per frame</t>
  </si>
  <si>
    <t xml:space="preserve">idle 4, walk 8</t>
  </si>
  <si>
    <t xml:space="preserve">res://art/animals/ani_03_calf_strip.png</t>
  </si>
  <si>
    <t xml:space="preserve">ANI-04</t>
  </si>
  <si>
    <t xml:space="preserve">Sheep</t>
  </si>
  <si>
    <t xml:space="preserve">Short-tailed Norse sheep with mixed fleece colours: idle, walk, graze, huddle (winter).</t>
  </si>
  <si>
    <t xml:space="preserve">200×160 per frame</t>
  </si>
  <si>
    <t xml:space="preserve">idle 4, walk 8, graze 6, huddle 3</t>
  </si>
  <si>
    <t xml:space="preserve">As above. Three fleece colour variants.</t>
  </si>
  <si>
    <t xml:space="preserve">res://art/animals/ani_04_sheep_strip.png</t>
  </si>
  <si>
    <t xml:space="preserve">ANI-05</t>
  </si>
  <si>
    <t xml:space="preserve">Goat</t>
  </si>
  <si>
    <t xml:space="preserve">A goat: idle, walk, climb onto a rock.</t>
  </si>
  <si>
    <t xml:space="preserve">200×180 per frame</t>
  </si>
  <si>
    <t xml:space="preserve">idle 4, walk 8, climb 4</t>
  </si>
  <si>
    <t xml:space="preserve">res://art/animals/ani_05_goat_strip.png</t>
  </si>
  <si>
    <t xml:space="preserve">Base bodies for the crew at camp scale: man and woman in three builds each, delivered as cutout parts (head, torso, upper arms, forearms, hands, thighs, shins, feet) with pivots marked.</t>
  </si>
  <si>
    <t xml:space="preserve">Camp, Market, Lift</t>
  </si>
  <si>
    <t xml:space="preserve">Cutout rig parts</t>
  </si>
  <si>
    <t xml:space="preserve">6 bodies</t>
  </si>
  <si>
    <t xml:space="preserve">Godot Skeleton2D. Parts on one canvas per body, joints overlapping so rotation never shows a gap.</t>
  </si>
  <si>
    <t xml:space="preserve">res://art/characters/chr_01_crew_body_rigs/  (one PNG per part)</t>
  </si>
  <si>
    <t xml:space="preserve">CHR-02</t>
  </si>
  <si>
    <t xml:space="preserve">Crew clothing and hair sets</t>
  </si>
  <si>
    <t xml:space="preserve">Swappable clothing for the rigs: wool tunics and dresses in natural, madder, woad blue, and lichen yellow, cloaks with pins, hoods, aprons with oval brooches, winter wraps; six hair styles and three beards.</t>
  </si>
  <si>
    <t xml:space="preserve">per part</t>
  </si>
  <si>
    <t xml:space="preserve">12 outfits, 9 hair</t>
  </si>
  <si>
    <t xml:space="preserve">Same part layout as the body rigs.</t>
  </si>
  <si>
    <t xml:space="preserve">res://art/characters/chr_02_crew_clothing_and_hair_sets/  (one PNG per part)</t>
  </si>
  <si>
    <t xml:space="preserve">F23</t>
  </si>
  <si>
    <t xml:space="preserve">CHR-03</t>
  </si>
  <si>
    <t xml:space="preserve">Crew animations</t>
  </si>
  <si>
    <t xml:space="preserve">Cutout animations: idle, walk, carry a load, chop or hammer, haul, kneel to work, row (seated), bail, sit and rest, sick (lying, shivering), celebrate, grieve.</t>
  </si>
  <si>
    <t xml:space="preserve">Camp, Voyage, Lift</t>
  </si>
  <si>
    <t xml:space="preserve">Animation set</t>
  </si>
  <si>
    <t xml:space="preserve">n/a</t>
  </si>
  <si>
    <t xml:space="preserve">12 animations</t>
  </si>
  <si>
    <t xml:space="preserve">Built in Godot from the rigs. Deliver reference poses (key poses as PNGs) if Claude animates them.</t>
  </si>
  <si>
    <t xml:space="preserve">res://art/characters/chr_03_crew_animations.png</t>
  </si>
  <si>
    <t xml:space="preserve">CHR-04</t>
  </si>
  <si>
    <t xml:space="preserve">Role props</t>
  </si>
  <si>
    <t xml:space="preserve">Props that mark the named crew roles: steering oar handle, smith's hammer and tongs, herder's crook and milk pail, bow and quiver, shipwright's broad axe, cook's ladle, healer's herb pouch, lookout's horn.</t>
  </si>
  <si>
    <t xml:space="preserve">up to 200×200</t>
  </si>
  <si>
    <t xml:space="preserve">8 props</t>
  </si>
  <si>
    <t xml:space="preserve">Pivot at the grip point.</t>
  </si>
  <si>
    <t xml:space="preserve">res://art/characters/chr_04_role_props.png</t>
  </si>
  <si>
    <t xml:space="preserve">CHR-05</t>
  </si>
  <si>
    <t xml:space="preserve">Crew role portraits</t>
  </si>
  <si>
    <t xml:space="preserve">Head-and-shoulders portraits for the eight named roles, painted in the same style as the camp, each in neutral, worried, glad, and sick expressions.</t>
  </si>
  <si>
    <t xml:space="preserve">UI: crew roster, events</t>
  </si>
  <si>
    <t xml:space="preserve">Portrait</t>
  </si>
  <si>
    <t xml:space="preserve">8 roles × 4 expressions</t>
  </si>
  <si>
    <t xml:space="preserve">Framed by the UI portrait frame.</t>
  </si>
  <si>
    <t xml:space="preserve">res://art/characters/chr_05_crew_role_portraits.png</t>
  </si>
  <si>
    <t xml:space="preserve">CHR-06</t>
  </si>
  <si>
    <t xml:space="preserve">Outfit leader portraits</t>
  </si>
  <si>
    <t xml:space="preserve">Larger bust portraits for the four outfit leaders: the farm household's matriarch, the merchant (Karlsefni, with Gudrid as his partner), the hunter-boat skipper, and the shipwright's kin head. Neutral, glad, and grim each.</t>
  </si>
  <si>
    <t xml:space="preserve">Loadout, events, endings</t>
  </si>
  <si>
    <t xml:space="preserve">5 people × 3 expressions</t>
  </si>
  <si>
    <t xml:space="preserve">Gudrid and Karlsefni are historical figures; keep them grounded and plain, not heroic.</t>
  </si>
  <si>
    <t xml:space="preserve">res://art/characters/chr_06_outfit_leader_portraits.png</t>
  </si>
  <si>
    <t xml:space="preserve">F22</t>
  </si>
  <si>
    <t xml:space="preserve">CHR-07</t>
  </si>
  <si>
    <t xml:space="preserve">Thorhall the Hunter portrait</t>
  </si>
  <si>
    <t xml:space="preserve">The surly, half-pagan hunter of the saga who leaves to find Vinland his own way; neutral and grim.</t>
  </si>
  <si>
    <t xml:space="preserve">Events</t>
  </si>
  <si>
    <t xml:space="preserve">2 expressions</t>
  </si>
  <si>
    <t xml:space="preserve">Only if the Thorhall split ships.</t>
  </si>
  <si>
    <t xml:space="preserve">res://art/characters/chr_07_thorhall_the_hunter_portrait.png</t>
  </si>
  <si>
    <t xml:space="preserve">F28</t>
  </si>
  <si>
    <t xml:space="preserve">CHR-08</t>
  </si>
  <si>
    <t xml:space="preserve">Newborn bundle</t>
  </si>
  <si>
    <t xml:space="preserve">A swaddled infant in a wool wrap, held, and in a cradle; for the birth event (Snorri in the saga).</t>
  </si>
  <si>
    <t xml:space="preserve">Camp, events</t>
  </si>
  <si>
    <t xml:space="preserve">res://art/characters/chr_08_newborn_bundle.png</t>
  </si>
  <si>
    <t xml:space="preserve">F48</t>
  </si>
  <si>
    <t xml:space="preserve">MKT-01</t>
  </si>
  <si>
    <t xml:space="preserve">Visitors' skin boats</t>
  </si>
  <si>
    <t xml:space="preserve">The visitors arrive in skin boats (húðkeipar, as the sagas call them) pulled up on the shore near the camp. Shape, covering, and paddles must follow the consultant's guidance; start as rough silhouettes only.</t>
  </si>
  <si>
    <t xml:space="preserve">Market, Camp</t>
  </si>
  <si>
    <t xml:space="preserve">700×200</t>
  </si>
  <si>
    <t xml:space="preserve">3 boats</t>
  </si>
  <si>
    <t xml:space="preserve">Draft only until the cultural review (F59) signs off.</t>
  </si>
  <si>
    <t xml:space="preserve">res://art/market/mkt_01_visitors_skin_boats.png</t>
  </si>
  <si>
    <t xml:space="preserve">F59</t>
  </si>
  <si>
    <t xml:space="preserve">MKT-02</t>
  </si>
  <si>
    <t xml:space="preserve">Visitor characters</t>
  </si>
  <si>
    <t xml:space="preserve">Six individual visitors, each with their own reason for being at the market (a trader, an elder, a curious young person, a hunter, a woman bringing furs, a cautious watcher). Each is a person with dignity and their own goals; none is a generic "native". Animations: idle, walk, offer goods, examine an item, wary step back, leave quickly.</t>
  </si>
  <si>
    <t xml:space="preserve">6 people × 6 animations</t>
  </si>
  <si>
    <t xml:space="preserve">Clothing, hair, and objects must follow the consultant's guidance (F59, Risk R11). Same rig layout as the crew.</t>
  </si>
  <si>
    <t xml:space="preserve">res://art/market/mkt_02_visitor_characters/  (one PNG per part)</t>
  </si>
  <si>
    <t xml:space="preserve">F20</t>
  </si>
  <si>
    <t xml:space="preserve">MKT-03</t>
  </si>
  <si>
    <t xml:space="preserve">Visitor portraits</t>
  </si>
  <si>
    <t xml:space="preserve">Portraits for the six visitors for trade dialogue, neutral and wary expressions.</t>
  </si>
  <si>
    <t xml:space="preserve">Market UI</t>
  </si>
  <si>
    <t xml:space="preserve">6 × 2 expressions</t>
  </si>
  <si>
    <t xml:space="preserve">After consultant review.</t>
  </si>
  <si>
    <t xml:space="preserve">res://art/market/mkt_03_visitor_portraits.png</t>
  </si>
  <si>
    <t xml:space="preserve">MKT-04</t>
  </si>
  <si>
    <t xml:space="preserve">Trade blanket and goods</t>
  </si>
  <si>
    <t xml:space="preserve">A spread hide or cloth where goods are laid out: bolts of red cloth (full, half, a strip), milk in pails and skins, cheese rounds, and the visitors' furs and pelts. Iron blades shown only when the weapon-sale event is live.</t>
  </si>
  <si>
    <t xml:space="preserve">1200×400 blanket, 128×128 goods</t>
  </si>
  <si>
    <t xml:space="preserve">1 blanket + 12 goods</t>
  </si>
  <si>
    <t xml:space="preserve">Goods snap to slots on the blanket.</t>
  </si>
  <si>
    <t xml:space="preserve">res://art/market/mkt_04_trade_blanket_and_goods.png</t>
  </si>
  <si>
    <t xml:space="preserve">MKT-05</t>
  </si>
  <si>
    <t xml:space="preserve">Market scene dressing</t>
  </si>
  <si>
    <t xml:space="preserve">Extra shoreline dressing for market days: footprints in the shingle, a second cook fire, staked hides, children's toys left behind.</t>
  </si>
  <si>
    <t xml:space="preserve">up to 300×200</t>
  </si>
  <si>
    <t xml:space="preserve">6 props</t>
  </si>
  <si>
    <t xml:space="preserve">res://art/market/mkt_05_market_scene_dressing.png</t>
  </si>
  <si>
    <t xml:space="preserve">The route shown as a carved and painted wooden board (no parchment): the coast chain from Greenland through Helluland, Markland, and the Wonder Strands to the Strait and Hóp, stylised and saga-like, not a real chart.</t>
  </si>
  <si>
    <t xml:space="preserve">2 variants (outbound summer, return autumn)</t>
  </si>
  <si>
    <t xml:space="preserve">Node positions are listed on the Scenes sheet.</t>
  </si>
  <si>
    <t xml:space="preserve">res://art/map/map_01_leg_map_board.png</t>
  </si>
  <si>
    <t xml:space="preserve">A small carved emblem for each region: fjord farm (Eriksfjord), open water wave (Labrador Sea), flat stone (Helluland), spruce (Markland), long beach (Furðustrandir), booths (the Strait), vine (Hóp).</t>
  </si>
  <si>
    <t xml:space="preserve">7 emblems × 3 states (locked, available, visited)</t>
  </si>
  <si>
    <t xml:space="preserve">res://art/map/map_02_region_emblems.png</t>
  </si>
  <si>
    <t xml:space="preserve">Painted route lines between nodes in three states: sailed, current, and not yet open; plus a dashed autumn return route.</t>
  </si>
  <si>
    <t xml:space="preserve">4 styles</t>
  </si>
  <si>
    <t xml:space="preserve">Stretched along a path in code.</t>
  </si>
  <si>
    <t xml:space="preserve">res://art/map/map_03_route_segments.png</t>
  </si>
  <si>
    <t xml:space="preserve">MAP-04</t>
  </si>
  <si>
    <t xml:space="preserve">Weather glyphs for the map</t>
  </si>
  <si>
    <t xml:space="preserve">Seven small carved symbols matching the weather deck cards, shown on the map leg ahead.</t>
  </si>
  <si>
    <t xml:space="preserve">Leg map, Voyage HUD</t>
  </si>
  <si>
    <t xml:space="preserve">7 icons</t>
  </si>
  <si>
    <t xml:space="preserve">Centre pivot. Same symbols as the card corners.</t>
  </si>
  <si>
    <t xml:space="preserve">res://art/map/map_04_weather_glyphs_for_the_map.png</t>
  </si>
  <si>
    <t xml:space="preserve">LOD-01</t>
  </si>
  <si>
    <t xml:space="preserve">Eriksfjord quay</t>
  </si>
  <si>
    <t xml:space="preserve">The departure scene: the knarr tied up at a stone and timber landing below Brattahlíð, people and animals waiting on the shore, goods piled.</t>
  </si>
  <si>
    <t xml:space="preserve">Upper half of the screen; the hold grid sits below.</t>
  </si>
  <si>
    <t xml:space="preserve">res://art/loadout/lod_01_eriksfjord_quay.png</t>
  </si>
  <si>
    <t xml:space="preserve">F53</t>
  </si>
  <si>
    <t xml:space="preserve">The knarr's hold seen from above as a carved board with 24 slots, ribs dividing it; bow at the right.</t>
  </si>
  <si>
    <t xml:space="preserve">Loadout, HUD</t>
  </si>
  <si>
    <t xml:space="preserve">1 + slot highlight</t>
  </si>
  <si>
    <t xml:space="preserve">Slot positions exported as a JSON or listed in Scenes.</t>
  </si>
  <si>
    <t xml:space="preserve">res://art/loadout/lod_02_hold_cross_section_grid.png</t>
  </si>
  <si>
    <t xml:space="preserve">Tokens that fill hold slots: person, cattle (takes more than one slot), sheep, food unit, drink cask, fodder, trade goods, timber, and an empty-slot mark. Same symbols as the HUD icons, bigger.</t>
  </si>
  <si>
    <t xml:space="preserve">9 tokens × 2 states</t>
  </si>
  <si>
    <t xml:space="preserve">res://art/loadout/lod_03_cargo_tokens.png</t>
  </si>
  <si>
    <t xml:space="preserve">LOD-04</t>
  </si>
  <si>
    <t xml:space="preserve">Outfit cards</t>
  </si>
  <si>
    <t xml:space="preserve">Four illustrated cards for the starting outfits: farm household (animals and fodder), merchant (red cloth and iron, a second hull), hunter-boat (boats, nets, bows), shipwright's kin (tools, spare sail, timber).</t>
  </si>
  <si>
    <t xml:space="preserve">Illustration</t>
  </si>
  <si>
    <t xml:space="preserve">600×800</t>
  </si>
  <si>
    <t xml:space="preserve">4 cards</t>
  </si>
  <si>
    <t xml:space="preserve">Card frame is a UI 9-slice; paint the illustration window only.</t>
  </si>
  <si>
    <t xml:space="preserve">res://art/loadout/lod_04_outfit_cards.png</t>
  </si>
  <si>
    <t xml:space="preserve">The main panel: a board of weathered pale timber with a carved border and a wool-felt inset for text.</t>
  </si>
  <si>
    <t xml:space="preserve">9-slice</t>
  </si>
  <si>
    <t xml:space="preserve">Godot NinePatchRect. Margins on the Art Spec sheet.</t>
  </si>
  <si>
    <t xml:space="preserve">res://art/ui/kit/uik_01_primary_panel_9_slice.png</t>
  </si>
  <si>
    <t xml:space="preserve">F36</t>
  </si>
  <si>
    <t xml:space="preserve">A thinner plank panel for small boxes and a wool-tag tooltip with a stitched edge.</t>
  </si>
  <si>
    <t xml:space="preserve">res://art/ui/kit/uik_02_secondary_panel_and_tooltip_9_slices.png</t>
  </si>
  <si>
    <t xml:space="preserve">Wooden buttons with a carved face in four states: normal, focused (gamepad), pressed, disabled. The focused state must be obvious from across a room.</t>
  </si>
  <si>
    <t xml:space="preserve">Focus state doubles as the hover state for mouse.</t>
  </si>
  <si>
    <t xml:space="preserve">res://art/ui/kit/uik_03_buttons.png</t>
  </si>
  <si>
    <t xml:space="preserve">UIK-04</t>
  </si>
  <si>
    <t xml:space="preserve">Tabs, toggles, sliders, checkboxes</t>
  </si>
  <si>
    <t xml:space="preserve">Remaining controls in the same material: tabs (on and off), a toggle switch, a slider track with a wooden knob, a checkbox with a stitched X.</t>
  </si>
  <si>
    <t xml:space="preserve">Menus, Options</t>
  </si>
  <si>
    <t xml:space="preserve">various</t>
  </si>
  <si>
    <t xml:space="preserve">10 sprites</t>
  </si>
  <si>
    <t xml:space="preserve">For the options menu (F51).</t>
  </si>
  <si>
    <t xml:space="preserve">res://art/ui/kit/uik_04_tabs_toggles_sliders_checkboxes.png</t>
  </si>
  <si>
    <t xml:space="preserve">F51</t>
  </si>
  <si>
    <t xml:space="preserve">A carved meter frame with yarn-wound fills in five colours (food, drink, fodder, hull, morale).</t>
  </si>
  <si>
    <t xml:space="preserve">9-slice + fills</t>
  </si>
  <si>
    <t xml:space="preserve">1 frame + 5 fills</t>
  </si>
  <si>
    <t xml:space="preserve">Fill is a separate 9-slice so it scales cleanly.</t>
  </si>
  <si>
    <t xml:space="preserve">res://art/ui/kit/uik_05_meter_frames_and_fills.png</t>
  </si>
  <si>
    <t xml:space="preserve">UIK-06</t>
  </si>
  <si>
    <t xml:space="preserve">Scroll bar and divider</t>
  </si>
  <si>
    <t xml:space="preserve">A scroll bar (track and grip) and a carved divider line.</t>
  </si>
  <si>
    <t xml:space="preserve">Menus</t>
  </si>
  <si>
    <t xml:space="preserve">24×256, 512×16</t>
  </si>
  <si>
    <t xml:space="preserve">Simple.</t>
  </si>
  <si>
    <t xml:space="preserve">res://art/ui/kit/uik_06_scroll_bar_and_divider.png</t>
  </si>
  <si>
    <t xml:space="preserve">A wide bottom panel for event text and two to four choice buttons, with a portrait window on the left.</t>
  </si>
  <si>
    <t xml:space="preserve">Events, Market</t>
  </si>
  <si>
    <t xml:space="preserve">1 + portrait frame</t>
  </si>
  <si>
    <t xml:space="preserve">Portrait frame fits 256×256 portraits.</t>
  </si>
  <si>
    <t xml:space="preserve">res://art/ui/kit/uik_07_dialogue_and_choice_panel.png</t>
  </si>
  <si>
    <t xml:space="preserve">A small wool tag that slides in for short messages (fix result, autosave, item gained).</t>
  </si>
  <si>
    <t xml:space="preserve">Top-centre.</t>
  </si>
  <si>
    <t xml:space="preserve">res://art/ui/kit/uik_08_toast_and_notification_tag.png</t>
  </si>
  <si>
    <t xml:space="preserve">Card frame for weather and event cards: a carved wooden border with a corner slot for the weather glyph, an 800×450 illustration window, and a text area.</t>
  </si>
  <si>
    <t xml:space="preserve">UI frame</t>
  </si>
  <si>
    <t xml:space="preserve">Illustration window at 40,40.</t>
  </si>
  <si>
    <t xml:space="preserve">res://art/ui/kit/uik_09_event_card_frame.png</t>
  </si>
  <si>
    <t xml:space="preserve">The hold shown as a carved tally stick with 24 notches; filled notches are inked, the cargo type is shown by a small symbol under each group. Changes animate one notch at a time.</t>
  </si>
  <si>
    <t xml:space="preserve">Voyage, Camp HUD</t>
  </si>
  <si>
    <t xml:space="preserve">stick + notch states (empty, filled, over)</t>
  </si>
  <si>
    <t xml:space="preserve">The game's most important HUD element. Notch positions on the Scenes sheet.</t>
  </si>
  <si>
    <t xml:space="preserve">res://art/ui/hud/hud_01_hold_tally_stick.png</t>
  </si>
  <si>
    <t xml:space="preserve">Three carved bowl icons: full, half, bare bones; with a separate small trough for the animals' ration.</t>
  </si>
  <si>
    <t xml:space="preserve">4 icons × 2 states</t>
  </si>
  <si>
    <t xml:space="preserve">Selected state is brighter with a wool tag.</t>
  </si>
  <si>
    <t xml:space="preserve">res://art/ui/hud/hud_02_ration_selector.png</t>
  </si>
  <si>
    <t xml:space="preserve">Three sail-and-wave icons: crack on (full sail, spray), easy (reefed), heave to (furled, bow into the wind).</t>
  </si>
  <si>
    <t xml:space="preserve">Voyage HUD</t>
  </si>
  <si>
    <t xml:space="preserve">3 icons × 2 states</t>
  </si>
  <si>
    <t xml:space="preserve">res://art/ui/hud/hud_03_pace_selector.png</t>
  </si>
  <si>
    <t xml:space="preserve">A carved wooden wheel divided into months from May to October plus a dark winter segment, with a pointer and a red danger arc on October at sea.</t>
  </si>
  <si>
    <t xml:space="preserve">wheel + pointer + danger arc</t>
  </si>
  <si>
    <t xml:space="preserve">Pointer rotates in code.</t>
  </si>
  <si>
    <t xml:space="preserve">res://art/ui/hud/hud_04_season_dial.png</t>
  </si>
  <si>
    <t xml:space="preserve">Six notches for the six four-hour watches of a day, a sun and moon marker, and a day-number plate.</t>
  </si>
  <si>
    <t xml:space="preserve">base + 6 notch states</t>
  </si>
  <si>
    <t xml:space="preserve">Top-left HUD.</t>
  </si>
  <si>
    <t xml:space="preserve">res://art/ui/hud/hud_05_watch_and_day_counter.png</t>
  </si>
  <si>
    <t xml:space="preserve">HUD-06</t>
  </si>
  <si>
    <t xml:space="preserve">Goodwill and fear cord</t>
  </si>
  <si>
    <t xml:space="preserve">A wool cord with five knots for fear and beads for goodwill; knots tighten and darken as fear rises to the cap.</t>
  </si>
  <si>
    <t xml:space="preserve">Camp, Market HUD</t>
  </si>
  <si>
    <t xml:space="preserve">480×96</t>
  </si>
  <si>
    <t xml:space="preserve">cord + 5 knot states + bead states</t>
  </si>
  <si>
    <t xml:space="preserve">Fear cap matches Assumptions (5).</t>
  </si>
  <si>
    <t xml:space="preserve">res://art/ui/hud/hud_06_goodwill_and_fear_cord.png</t>
  </si>
  <si>
    <t xml:space="preserve">HUD-07</t>
  </si>
  <si>
    <t xml:space="preserve">Ship condition icons</t>
  </si>
  <si>
    <t xml:space="preserve">Hull icon in four states (sound, strained, sprung, holed) and sail icon in three (whole, torn, lost).</t>
  </si>
  <si>
    <t xml:space="preserve">Bottom-left HUD.</t>
  </si>
  <si>
    <t xml:space="preserve">res://art/ui/hud/hud_07_ship_condition_icons.png</t>
  </si>
  <si>
    <t xml:space="preserve">HUD-08</t>
  </si>
  <si>
    <t xml:space="preserve">Morale and sickness icons</t>
  </si>
  <si>
    <t xml:space="preserve">Small faces or hearth icons for crew morale (high, steady, low, broken) and a sickness mark.</t>
  </si>
  <si>
    <t xml:space="preserve">5 icons</t>
  </si>
  <si>
    <t xml:space="preserve">Used in the roster.</t>
  </si>
  <si>
    <t xml:space="preserve">res://art/ui/hud/hud_08_morale_and_sickness_icons.png</t>
  </si>
  <si>
    <t xml:space="preserve">A carved notch scale showing estimated latitude, and a curved arrow for drift direction and size.</t>
  </si>
  <si>
    <t xml:space="preserve">Arrow rotates and scales in code.</t>
  </si>
  <si>
    <t xml:space="preserve">res://art/ui/hud/hud_09_latitude_readout_and_drift_arrow.png</t>
  </si>
  <si>
    <t xml:space="preserve">HUD-10</t>
  </si>
  <si>
    <t xml:space="preserve">Crew roster card</t>
  </si>
  <si>
    <t xml:space="preserve">A small card per crew member: portrait window, role symbol, health and morale marks.</t>
  </si>
  <si>
    <t xml:space="preserve">320×120</t>
  </si>
  <si>
    <t xml:space="preserve">1 + states</t>
  </si>
  <si>
    <t xml:space="preserve">Uses role portraits.</t>
  </si>
  <si>
    <t xml:space="preserve">res://art/ui/hud/hud_10_crew_roster_card.png</t>
  </si>
  <si>
    <t xml:space="preserve">HUD-11</t>
  </si>
  <si>
    <t xml:space="preserve">Haptics-off cue marks</t>
  </si>
  <si>
    <t xml:space="preserve">The on-screen twins for vibration cues not covered elsewhere: a pulse ring, a tug mark, a tick mark, and a warning flash for strain.</t>
  </si>
  <si>
    <t xml:space="preserve">All mini-games</t>
  </si>
  <si>
    <t xml:space="preserve">4 icons</t>
  </si>
  <si>
    <t xml:space="preserve">Shown only when haptics are off (F32).</t>
  </si>
  <si>
    <t xml:space="preserve">res://art/ui/hud/hud_11_haptics_off_cue_marks.png</t>
  </si>
  <si>
    <t xml:space="preserve">One clear icon per resource: food unit, drink cask, fodder, hay, timber, red cloth, iron, milk, cheese, hides, meat, fresh fish, dried fish, berries, grain, silver. Carved-and-painted look, readable at 48 px.</t>
  </si>
  <si>
    <t xml:space="preserve">HUD, Loadout, Market</t>
  </si>
  <si>
    <t xml:space="preserve">16 icons</t>
  </si>
  <si>
    <t xml:space="preserve">Centre pivot. Same style as the cargo tokens.</t>
  </si>
  <si>
    <t xml:space="preserve">res://art/ui/icons/icn_01_resource_icons.png</t>
  </si>
  <si>
    <t xml:space="preserve">Five icons for the five verbs: navigate (star ring), fish (hook), hunt (bow), forage (basket), build (mallet).</t>
  </si>
  <si>
    <t xml:space="preserve">Camp job board, menus</t>
  </si>
  <si>
    <t xml:space="preserve">Used on job markers and the Dashboard-style summary screen.</t>
  </si>
  <si>
    <t xml:space="preserve">res://art/ui/icons/icn_02_verb_icons.png</t>
  </si>
  <si>
    <t xml:space="preserve">ICN-03</t>
  </si>
  <si>
    <t xml:space="preserve">Status and event icons</t>
  </si>
  <si>
    <t xml:space="preserve">Small icons for: sick, dead, birth, fear tick, goodwill gain, storm, spoiled, autosave.</t>
  </si>
  <si>
    <t xml:space="preserve">HUD, toasts</t>
  </si>
  <si>
    <t xml:space="preserve">8 icons</t>
  </si>
  <si>
    <t xml:space="preserve">Autosave icon is a turning spindle whorl.</t>
  </si>
  <si>
    <t xml:space="preserve">res://art/ui/icons/icn_03_status_and_event_icons.png</t>
  </si>
  <si>
    <t xml:space="preserve">F50</t>
  </si>
  <si>
    <t xml:space="preserve">Button prompts for Xbox, PlayStation, and Steam Deck layouts (face buttons, bumpers, triggers, sticks with direction hints, d-pad, menu buttons) plus keyboard and mouse.</t>
  </si>
  <si>
    <t xml:space="preserve">about 90 glyphs</t>
  </si>
  <si>
    <t xml:space="preserve">A free CC0 set (Kenney Input Prompts) is acceptable; restyle the frame to wood if time allows.</t>
  </si>
  <si>
    <t xml:space="preserve">res://art/ui/icons/icn_04_controller_button_glyphs.png</t>
  </si>
  <si>
    <t xml:space="preserve">F08</t>
  </si>
  <si>
    <t xml:space="preserve">ICN-05</t>
  </si>
  <si>
    <t xml:space="preserve">Mouse cursor</t>
  </si>
  <si>
    <t xml:space="preserve">A small carved pointer and a grab hand, for the mouse fallback.</t>
  </si>
  <si>
    <t xml:space="preserve">Cursor</t>
  </si>
  <si>
    <t xml:space="preserve">48×48</t>
  </si>
  <si>
    <t xml:space="preserve">2 cursors</t>
  </si>
  <si>
    <t xml:space="preserve">Hotspot at the tip.</t>
  </si>
  <si>
    <t xml:space="preserve">res://art/ui/icons/icn_05_mouse_cursor.png</t>
  </si>
  <si>
    <t xml:space="preserve">F54</t>
  </si>
  <si>
    <t xml:space="preserve">ICN-06</t>
  </si>
  <si>
    <t xml:space="preserve">Achievement icons</t>
  </si>
  <si>
    <t xml:space="preserve">Twelve achievement badges tied to saga beats (first clean fix, first winter survived, a birth, timber home, relief ship, full win), each with a greyed locked version.</t>
  </si>
  <si>
    <t xml:space="preserve">Steam</t>
  </si>
  <si>
    <t xml:space="preserve">12 × 2 states</t>
  </si>
  <si>
    <t xml:space="preserve">Steam requires both versions as JPG or PNG.</t>
  </si>
  <si>
    <t xml:space="preserve">res://art/ui/icons/icn_06_achievement_icons.png</t>
  </si>
  <si>
    <t xml:space="preserve">F58</t>
  </si>
  <si>
    <t xml:space="preserve">EVT-01</t>
  </si>
  <si>
    <t xml:space="preserve">Weather card: fog</t>
  </si>
  <si>
    <t xml:space="preserve">The knarr ghosting through white fog, only the sail top visible.</t>
  </si>
  <si>
    <t xml:space="preserve">Fits the event card window.</t>
  </si>
  <si>
    <t xml:space="preserve">res://art/events/evt_01_weather_card_fog.png</t>
  </si>
  <si>
    <t xml:space="preserve">EVT-02</t>
  </si>
  <si>
    <t xml:space="preserve">Weather card: low cloud</t>
  </si>
  <si>
    <t xml:space="preserve">Scud racing over a grey sea, a gull struggling in the wind.</t>
  </si>
  <si>
    <t xml:space="preserve">res://art/events/evt_02_weather_card_low_cloud.png</t>
  </si>
  <si>
    <t xml:space="preserve">EVT-03</t>
  </si>
  <si>
    <t xml:space="preserve">Weather card: following gale</t>
  </si>
  <si>
    <t xml:space="preserve">The ship running fast down long streaked seas under a reefed sail, spray flying.</t>
  </si>
  <si>
    <t xml:space="preserve">res://art/events/evt_03_weather_card_following_gale.png</t>
  </si>
  <si>
    <t xml:space="preserve">EVT-04</t>
  </si>
  <si>
    <t xml:space="preserve">Weather card: beam sea</t>
  </si>
  <si>
    <t xml:space="preserve">The ship heeled hard with green water slopping over the lee gunwale.</t>
  </si>
  <si>
    <t xml:space="preserve">res://art/events/evt_04_weather_card_beam_sea.png</t>
  </si>
  <si>
    <t xml:space="preserve">EVT-05</t>
  </si>
  <si>
    <t xml:space="preserve">Weather card: storm</t>
  </si>
  <si>
    <t xml:space="preserve">The knarr hove to under a black sky, crew bailing, a wave towering astern.</t>
  </si>
  <si>
    <t xml:space="preserve">res://art/events/evt_05_weather_card_storm.png</t>
  </si>
  <si>
    <t xml:space="preserve">EVT-06</t>
  </si>
  <si>
    <t xml:space="preserve">Weather card: drift ice</t>
  </si>
  <si>
    <t xml:space="preserve">Floes all around the hull, a crew member fending off with an oar.</t>
  </si>
  <si>
    <t xml:space="preserve">res://art/events/evt_06_weather_card_drift_ice.png</t>
  </si>
  <si>
    <t xml:space="preserve">EVT-07</t>
  </si>
  <si>
    <t xml:space="preserve">Weather card: calm</t>
  </si>
  <si>
    <t xml:space="preserve">Glassy water, sail hanging slack, crew at the oars.</t>
  </si>
  <si>
    <t xml:space="preserve">res://art/events/evt_07_weather_card_calm.png</t>
  </si>
  <si>
    <t xml:space="preserve">EVT-08</t>
  </si>
  <si>
    <t xml:space="preserve">Event: landfall</t>
  </si>
  <si>
    <t xml:space="preserve">The first sight of a new coast from the deck, the crew pointing. One per region is ideal; one shared image is the minimum.</t>
  </si>
  <si>
    <t xml:space="preserve">1 (up to 6)</t>
  </si>
  <si>
    <t xml:space="preserve">Could reuse the near coast strips with a crew foreground.</t>
  </si>
  <si>
    <t xml:space="preserve">res://art/events/evt_08_event_landfall.png</t>
  </si>
  <si>
    <t xml:space="preserve">EVT-09</t>
  </si>
  <si>
    <t xml:space="preserve">Event: sprung strake</t>
  </si>
  <si>
    <t xml:space="preserve">A plank seam springing open, water jetting in, a crew member shoving a wad of wool into it.</t>
  </si>
  <si>
    <t xml:space="preserve">res://art/events/evt_09_event_sprung_strake.png</t>
  </si>
  <si>
    <t xml:space="preserve">EVT-10</t>
  </si>
  <si>
    <t xml:space="preserve">Event: man overboard</t>
  </si>
  <si>
    <t xml:space="preserve">A figure in the water reaching up, a rope thrown from the gunwale.</t>
  </si>
  <si>
    <t xml:space="preserve">Not graphic.</t>
  </si>
  <si>
    <t xml:space="preserve">res://art/events/evt_10_event_man_overboard.png</t>
  </si>
  <si>
    <t xml:space="preserve">A split water cask gushing across the deck.</t>
  </si>
  <si>
    <t xml:space="preserve">res://art/events/evt_11_event_cask_breached.png</t>
  </si>
  <si>
    <t xml:space="preserve">F37</t>
  </si>
  <si>
    <t xml:space="preserve">EVT-12</t>
  </si>
  <si>
    <t xml:space="preserve">Event: sickness</t>
  </si>
  <si>
    <t xml:space="preserve">A crew member lying under a cloak in the hold, another giving them whey.</t>
  </si>
  <si>
    <t xml:space="preserve">Quiet tone.</t>
  </si>
  <si>
    <t xml:space="preserve">res://art/events/evt_12_event_sickness.png</t>
  </si>
  <si>
    <t xml:space="preserve">EVT-13</t>
  </si>
  <si>
    <t xml:space="preserve">Event: a death</t>
  </si>
  <si>
    <t xml:space="preserve">Stones being set on a cairn at dusk, crew standing with heads bowed.</t>
  </si>
  <si>
    <t xml:space="preserve">Respectful, no body shown.</t>
  </si>
  <si>
    <t xml:space="preserve">res://art/events/evt_13_event_a_death.png</t>
  </si>
  <si>
    <t xml:space="preserve">EVT-14</t>
  </si>
  <si>
    <t xml:space="preserve">Event: a birth</t>
  </si>
  <si>
    <t xml:space="preserve">Inside a booth by firelight, a mother holding a newborn, women around her.</t>
  </si>
  <si>
    <t xml:space="preserve">Warm, tender.</t>
  </si>
  <si>
    <t xml:space="preserve">res://art/events/evt_14_event_a_birth.png</t>
  </si>
  <si>
    <t xml:space="preserve">EVT-15</t>
  </si>
  <si>
    <t xml:space="preserve">Event: the bull breaks loose</t>
  </si>
  <si>
    <t xml:space="preserve">The bull charging out of the byre toward the market blanket, visitors scattering.</t>
  </si>
  <si>
    <t xml:space="preserve">The saga moment; drama without violence.</t>
  </si>
  <si>
    <t xml:space="preserve">res://art/events/evt_15_event_the_bull_breaks_loose.png</t>
  </si>
  <si>
    <t xml:space="preserve">EVT-16</t>
  </si>
  <si>
    <t xml:space="preserve">Event: the weapon request</t>
  </si>
  <si>
    <t xml:space="preserve">A visitor gesturing toward an iron blade on the trade blanket; a crew member hesitating.</t>
  </si>
  <si>
    <t xml:space="preserve">res://art/events/evt_16_event_the_weapon_request.png</t>
  </si>
  <si>
    <t xml:space="preserve">EVT-17</t>
  </si>
  <si>
    <t xml:space="preserve">Event: market day arrives</t>
  </si>
  <si>
    <t xml:space="preserve">Skin boats landing on the shingle at morning, the camp coming out to meet them.</t>
  </si>
  <si>
    <t xml:space="preserve">res://art/events/evt_17_event_market_day_arrives.png</t>
  </si>
  <si>
    <t xml:space="preserve">EVT-18</t>
  </si>
  <si>
    <t xml:space="preserve">Event: hay harvest</t>
  </si>
  <si>
    <t xml:space="preserve">Crew cutting tall grass with scythes in late-summer light.</t>
  </si>
  <si>
    <t xml:space="preserve">res://art/events/evt_18_event_hay_harvest.png</t>
  </si>
  <si>
    <t xml:space="preserve">EVT-19</t>
  </si>
  <si>
    <t xml:space="preserve">Event: first snow</t>
  </si>
  <si>
    <t xml:space="preserve">The first snow settling on the turf roofs, smoke rising, livestock huddled.</t>
  </si>
  <si>
    <t xml:space="preserve">res://art/events/evt_19_event_first_snow.png</t>
  </si>
  <si>
    <t xml:space="preserve">EVT-20</t>
  </si>
  <si>
    <t xml:space="preserve">Event: relief ship sighted</t>
  </si>
  <si>
    <t xml:space="preserve">A sail on the horizon, the camp running to the shore.</t>
  </si>
  <si>
    <t xml:space="preserve">res://art/events/evt_20_event_relief_ship_sighted.png</t>
  </si>
  <si>
    <t xml:space="preserve">EVT-21</t>
  </si>
  <si>
    <t xml:space="preserve">Event: timber cargo departs</t>
  </si>
  <si>
    <t xml:space="preserve">The knarr loaded with timber pushing off from the slipway, waving crew.</t>
  </si>
  <si>
    <t xml:space="preserve">Events, trailer</t>
  </si>
  <si>
    <t xml:space="preserve">Also the trailer's closing image.</t>
  </si>
  <si>
    <t xml:space="preserve">res://art/events/evt_21_event_timber_cargo_departs.png</t>
  </si>
  <si>
    <t xml:space="preserve">EVT-22</t>
  </si>
  <si>
    <t xml:space="preserve">Event: recruitment at Eriksfjord</t>
  </si>
  <si>
    <t xml:space="preserve">Crew retelling the voyage to a crowd at Brattahlíð; young people stepping forward.</t>
  </si>
  <si>
    <t xml:space="preserve">res://art/events/evt_22_event_recruitment_at_eriksfjord.png</t>
  </si>
  <si>
    <t xml:space="preserve">EVT-23</t>
  </si>
  <si>
    <t xml:space="preserve">Event: Thorhall leaves</t>
  </si>
  <si>
    <t xml:space="preserve">A small party walking away along the shore, Thorhall in front.</t>
  </si>
  <si>
    <t xml:space="preserve">Only if F28 ships.</t>
  </si>
  <si>
    <t xml:space="preserve">res://art/events/evt_23_event_thorhall_leaves.png</t>
  </si>
  <si>
    <t xml:space="preserve">EVT-24</t>
  </si>
  <si>
    <t xml:space="preserve">Event: grapes found at Hóp</t>
  </si>
  <si>
    <t xml:space="preserve">A crew member holding up a cluster of wild grapes, amazed.</t>
  </si>
  <si>
    <t xml:space="preserve">res://art/events/evt_24_event_grapes_found_at_hop.png</t>
  </si>
  <si>
    <t xml:space="preserve">EVT-25</t>
  </si>
  <si>
    <t xml:space="preserve">Event: sealing</t>
  </si>
  <si>
    <t xml:space="preserve">Seals hauled out on an ice floe, a hunter creeping up.</t>
  </si>
  <si>
    <t xml:space="preserve">Only if F29 ships.</t>
  </si>
  <si>
    <t xml:space="preserve">res://art/events/evt_25_event_sealing.png</t>
  </si>
  <si>
    <t xml:space="preserve">F29</t>
  </si>
  <si>
    <t xml:space="preserve">END-01</t>
  </si>
  <si>
    <t xml:space="preserve">Ending: full win</t>
  </si>
  <si>
    <t xml:space="preserve">A living camp in spring: smoke from the longhouse, cattle out to graze, a relief ship anchored, children on the shore. The best ending.</t>
  </si>
  <si>
    <t xml:space="preserve">Ending</t>
  </si>
  <si>
    <t xml:space="preserve">Full screen with a text panel overlay.</t>
  </si>
  <si>
    <t xml:space="preserve">res://art/endings/end_01_ending_full_win.png</t>
  </si>
  <si>
    <t xml:space="preserve">F56</t>
  </si>
  <si>
    <t xml:space="preserve">END-02</t>
  </si>
  <si>
    <t xml:space="preserve">Ending: saga ending (leave rich)</t>
  </si>
  <si>
    <t xml:space="preserve">Both ships deep-laden pulling away from an empty camp, the booths already sagging. Rich but leaving; scored below a living camp, never scolded.</t>
  </si>
  <si>
    <t xml:space="preserve">res://art/endings/end_02_ending_saga_ending.png</t>
  </si>
  <si>
    <t xml:space="preserve">END-03</t>
  </si>
  <si>
    <t xml:space="preserve">Ending: lost at sea</t>
  </si>
  <si>
    <t xml:space="preserve">October storm, a single broken spar on a grey sea.</t>
  </si>
  <si>
    <t xml:space="preserve">res://art/endings/end_03_ending_lost_at_sea.png</t>
  </si>
  <si>
    <t xml:space="preserve">END-04</t>
  </si>
  <si>
    <t xml:space="preserve">Ending: winter starvation</t>
  </si>
  <si>
    <t xml:space="preserve">A snow-buried camp, no smoke, an empty byre door open.</t>
  </si>
  <si>
    <t xml:space="preserve">res://art/endings/end_04_ending_winter_starvation.png</t>
  </si>
  <si>
    <t xml:space="preserve">END-05</t>
  </si>
  <si>
    <t xml:space="preserve">Ending: fear capped</t>
  </si>
  <si>
    <t xml:space="preserve">The palisade standing, the camp abandoned in haste, both hulls gone from the shore.</t>
  </si>
  <si>
    <t xml:space="preserve">res://art/endings/end_05_ending_fear_capped.png</t>
  </si>
  <si>
    <t xml:space="preserve">END-06</t>
  </si>
  <si>
    <t xml:space="preserve">Score screen board</t>
  </si>
  <si>
    <t xml:space="preserve">A large carved board for the final tally: cargo delivered, people alive in both places, goodwill left.</t>
  </si>
  <si>
    <t xml:space="preserve">Score</t>
  </si>
  <si>
    <t xml:space="preserve">1600×900</t>
  </si>
  <si>
    <t xml:space="preserve">Text drawn on top in code.</t>
  </si>
  <si>
    <t xml:space="preserve">res://art/endings/end_06_score_screen_board.png</t>
  </si>
  <si>
    <t xml:space="preserve">F31</t>
  </si>
  <si>
    <t xml:space="preserve">MNU-01</t>
  </si>
  <si>
    <t xml:space="preserve">Title key art (layered)</t>
  </si>
  <si>
    <t xml:space="preserve">The game's key image: the knarr under sail at the edge of a new coast, a single figure at the bow, a vast sky. Painted in layers (sky, far coast, sea, ship, foreground spray) for slow parallax behind the menu.</t>
  </si>
  <si>
    <t xml:space="preserve">Title, Steam, itch</t>
  </si>
  <si>
    <t xml:space="preserve">Layered illustration</t>
  </si>
  <si>
    <t xml:space="preserve">3840×2160 source, 1920×1080 in game</t>
  </si>
  <si>
    <t xml:space="preserve">5 layers</t>
  </si>
  <si>
    <t xml:space="preserve">This one painting feeds most store art; paint it at 3840×2160.</t>
  </si>
  <si>
    <t xml:space="preserve">res://art/menus/mnu_01_title_key_art.png</t>
  </si>
  <si>
    <t xml:space="preserve">F34</t>
  </si>
  <si>
    <t xml:space="preserve">MNU-02</t>
  </si>
  <si>
    <t xml:space="preserve">Logo wordmark</t>
  </si>
  <si>
    <t xml:space="preserve">The title wordmark, carved or brushed letters with a restrained runic flavour, readable at small sizes. Also a stacked version and a one-colour version.</t>
  </si>
  <si>
    <t xml:space="preserve">Title, Steam, itch, trailer</t>
  </si>
  <si>
    <t xml:space="preserve">Logo</t>
  </si>
  <si>
    <t xml:space="preserve">1600×500 PNG + SVG</t>
  </si>
  <si>
    <t xml:space="preserve">3 versions</t>
  </si>
  <si>
    <t xml:space="preserve">Transparent. Check the title for trademark clashes before final art.</t>
  </si>
  <si>
    <t xml:space="preserve">res://art/menus/mnu_02_logo_wordmark.png (+ .svg)</t>
  </si>
  <si>
    <t xml:space="preserve">MNU-03</t>
  </si>
  <si>
    <t xml:space="preserve">Main menu frame</t>
  </si>
  <si>
    <t xml:space="preserve">The menu panel and button column laid over the key art.</t>
  </si>
  <si>
    <t xml:space="preserve">Title</t>
  </si>
  <si>
    <t xml:space="preserve">UI layout</t>
  </si>
  <si>
    <t xml:space="preserve">Uses the UI kit.</t>
  </si>
  <si>
    <t xml:space="preserve">res://art/menus/mnu_03_main_menu_frame.png</t>
  </si>
  <si>
    <t xml:space="preserve">MNU-04</t>
  </si>
  <si>
    <t xml:space="preserve">Options and pause backgrounds</t>
  </si>
  <si>
    <t xml:space="preserve">A darkened, blurred camp view for options, and a dim overlay with a wool border for pause.</t>
  </si>
  <si>
    <t xml:space="preserve">res://art/menus/mnu_04_options_and_pause_backgrounds.png</t>
  </si>
  <si>
    <t xml:space="preserve">MNU-05</t>
  </si>
  <si>
    <t xml:space="preserve">Loading screen</t>
  </si>
  <si>
    <t xml:space="preserve">A simple painted vignette (the star ring on a sea chest) with the spindle-whorl spinner.</t>
  </si>
  <si>
    <t xml:space="preserve">1 + spinner 8 frames</t>
  </si>
  <si>
    <t xml:space="preserve">res://art/menus/mnu_05_loading_screen.png</t>
  </si>
  <si>
    <t xml:space="preserve">MNU-06</t>
  </si>
  <si>
    <t xml:space="preserve">Credits background</t>
  </si>
  <si>
    <t xml:space="preserve">Quiet long image of the coast at dusk for scrolling credits.</t>
  </si>
  <si>
    <t xml:space="preserve">Credits</t>
  </si>
  <si>
    <t xml:space="preserve">res://art/menus/mnu_06_credits_background.png</t>
  </si>
  <si>
    <t xml:space="preserve">F60</t>
  </si>
  <si>
    <t xml:space="preserve">MNU-07</t>
  </si>
  <si>
    <t xml:space="preserve">Application icon</t>
  </si>
  <si>
    <t xml:space="preserve">The game's icon: the star ring or the knarr's prow in a square, readable at 16 px.</t>
  </si>
  <si>
    <t xml:space="preserve">Desktop, Steam client</t>
  </si>
  <si>
    <t xml:space="preserve">256×256 PNG + multi-size .ico</t>
  </si>
  <si>
    <t xml:space="preserve">.ico with 16, 32, 48, 256. Godot uses icon.png.</t>
  </si>
  <si>
    <t xml:space="preserve">res://art/menus/mnu_07_application_icon.png</t>
  </si>
  <si>
    <t xml:space="preserve">F57</t>
  </si>
  <si>
    <t xml:space="preserve">MNU-08</t>
  </si>
  <si>
    <t xml:space="preserve">Godot boot splash</t>
  </si>
  <si>
    <t xml:space="preserve">A plain dark card with the wordmark, shown while the engine starts.</t>
  </si>
  <si>
    <t xml:space="preserve">Boot</t>
  </si>
  <si>
    <t xml:space="preserve">Set in Project Settings &gt; Application &gt; Boot Splash.</t>
  </si>
  <si>
    <t xml:space="preserve">res://art/menus/mnu_08_godot_boot_splash.png</t>
  </si>
  <si>
    <t xml:space="preserve">Basic particle textures: soft round dot, spark, ember, droplet, foam puff, snowflake, dust mote, leaf.</t>
  </si>
  <si>
    <t xml:space="preserve">Texture set</t>
  </si>
  <si>
    <t xml:space="preserve">8 textures</t>
  </si>
  <si>
    <t xml:space="preserve">White on transparent so code can tint them.</t>
  </si>
  <si>
    <t xml:space="preserve">res://art/vfx/vfx_01_soft_particle_set.png</t>
  </si>
  <si>
    <t xml:space="preserve">A smoke puff that grows and fades, for chimney smoke and the fire.</t>
  </si>
  <si>
    <t xml:space="preserve">Camp, Smoke rack</t>
  </si>
  <si>
    <t xml:space="preserve">White on transparent.</t>
  </si>
  <si>
    <t xml:space="preserve">res://art/vfx/vfx_02_smoke_puff_sheet_strip.png</t>
  </si>
  <si>
    <t xml:space="preserve">A small water splash, for fish, oars, and objects hitting the water.</t>
  </si>
  <si>
    <t xml:space="preserve">Voyage, Fish</t>
  </si>
  <si>
    <t xml:space="preserve">res://art/vfx/vfx_03_splash_sheet_strip.png</t>
  </si>
  <si>
    <t xml:space="preserve">Key art crop with the logo, for the top of the store page and recommendation lists.</t>
  </si>
  <si>
    <t xml:space="preserve">Store art</t>
  </si>
  <si>
    <t xml:space="preserve">Logo and artwork only (Steam rule).</t>
  </si>
  <si>
    <t xml:space="preserve">marketing/mkg_01_steam_header_capsule.png</t>
  </si>
  <si>
    <t xml:space="preserve">F61</t>
  </si>
  <si>
    <t xml:space="preserve">Tight crop where the logo must read at tiny size; logo fills most of the space.</t>
  </si>
  <si>
    <t xml:space="preserve">Logo and artwork only.</t>
  </si>
  <si>
    <t xml:space="preserve">marketing/mkg_02_steam_small_capsule.png</t>
  </si>
  <si>
    <t xml:space="preserve">The big front-page capsule: key art with the logo.</t>
  </si>
  <si>
    <t xml:space="preserve">marketing/mkg_03_steam_main_capsule.png</t>
  </si>
  <si>
    <t xml:space="preserve">Portrait crop of the key art with the logo.</t>
  </si>
  <si>
    <t xml:space="preserve">marketing/mkg_04_steam_vertical_capsule.png</t>
  </si>
  <si>
    <t xml:space="preserve">A subtle, dark version of the sea for behind the store page.</t>
  </si>
  <si>
    <t xml:space="preserve">Optional; keep it dim.</t>
  </si>
  <si>
    <t xml:space="preserve">marketing/mkg_05_steam_page_background.png</t>
  </si>
  <si>
    <t xml:space="preserve">MKG-06</t>
  </si>
  <si>
    <t xml:space="preserve">Steam library capsule</t>
  </si>
  <si>
    <t xml:space="preserve">Portrait library tile: key art with logo.</t>
  </si>
  <si>
    <t xml:space="preserve">600×900</t>
  </si>
  <si>
    <t xml:space="preserve">marketing/mkg_06_steam_library_capsule.png</t>
  </si>
  <si>
    <t xml:space="preserve">MKG-07</t>
  </si>
  <si>
    <t xml:space="preserve">Steam library hero</t>
  </si>
  <si>
    <t xml:space="preserve">Wide library banner of pure artwork (no logo): sky, sea, and the ship small on the left.</t>
  </si>
  <si>
    <t xml:space="preserve">3840×1240</t>
  </si>
  <si>
    <t xml:space="preserve">Artwork only; the logo sits on top.</t>
  </si>
  <si>
    <t xml:space="preserve">marketing/mkg_07_steam_library_hero.png</t>
  </si>
  <si>
    <t xml:space="preserve">MKG-08</t>
  </si>
  <si>
    <t xml:space="preserve">Steam library logo</t>
  </si>
  <si>
    <t xml:space="preserve">The logo alone for placing over the hero.</t>
  </si>
  <si>
    <t xml:space="preserve">1280×720 max, transparent PNG</t>
  </si>
  <si>
    <t xml:space="preserve">Logo only.</t>
  </si>
  <si>
    <t xml:space="preserve">marketing/mkg_08_steam_library_logo.png</t>
  </si>
  <si>
    <t xml:space="preserve">MKG-09</t>
  </si>
  <si>
    <t xml:space="preserve">Steam library header</t>
  </si>
  <si>
    <t xml:space="preserve">Library header capsule, same layout as the store header.</t>
  </si>
  <si>
    <t xml:space="preserve">marketing/mkg_09_steam_library_header.png</t>
  </si>
  <si>
    <t xml:space="preserve">MKG-10</t>
  </si>
  <si>
    <t xml:space="preserve">Steam client and community icons</t>
  </si>
  <si>
    <t xml:space="preserve">Client shortcut icon and the small community icon.</t>
  </si>
  <si>
    <t xml:space="preserve">256×256 PNG/ICO, 184×184 JPG</t>
  </si>
  <si>
    <t xml:space="preserve">From the application icon.</t>
  </si>
  <si>
    <t xml:space="preserve">marketing/mkg_10_steam_client_and_community_icons.png</t>
  </si>
  <si>
    <t xml:space="preserve">MKG-11</t>
  </si>
  <si>
    <t xml:space="preserve">Steam event cover and header</t>
  </si>
  <si>
    <t xml:space="preserve">Templates for news posts: a cover image (marketing text allowed) and a wide header.</t>
  </si>
  <si>
    <t xml:space="preserve">800×450, 1920×622</t>
  </si>
  <si>
    <t xml:space="preserve">2 templates</t>
  </si>
  <si>
    <t xml:space="preserve">Reusable for updates and Next Fest.</t>
  </si>
  <si>
    <t xml:space="preserve">marketing/mkg_11_steam_event_cover_and_header.png</t>
  </si>
  <si>
    <t xml:space="preserve">MKG-12</t>
  </si>
  <si>
    <t xml:space="preserve">Screenshots</t>
  </si>
  <si>
    <t xml:space="preserve">At least five in-game screenshots: a fix in fog, a camp in summer, the market, winter, and timber leaving the slip. Captured from the game, then cropped and staged.</t>
  </si>
  <si>
    <t xml:space="preserve">Steam, itch, press</t>
  </si>
  <si>
    <t xml:space="preserve">Screenshot</t>
  </si>
  <si>
    <t xml:space="preserve">1920×1080 minimum</t>
  </si>
  <si>
    <t xml:space="preserve">5–10</t>
  </si>
  <si>
    <t xml:space="preserve">Claude can add a clean screenshot mode (no HUD) to the build.</t>
  </si>
  <si>
    <t xml:space="preserve">marketing/mkg_12_screenshots.png</t>
  </si>
  <si>
    <t xml:space="preserve">Cover for the itch.io page and listings: key art crop with the logo.</t>
  </si>
  <si>
    <t xml:space="preserve">itch.io</t>
  </si>
  <si>
    <t xml:space="preserve">Max 3840×2160, 3 MB.</t>
  </si>
  <si>
    <t xml:space="preserve">marketing/mkg_13_itch_io_cover_image.png</t>
  </si>
  <si>
    <t xml:space="preserve">A wide banner with the logo for the top of the itch page, and a dim sea texture for the page background.</t>
  </si>
  <si>
    <t xml:space="preserve">Banner shows up to 960 px wide.</t>
  </si>
  <si>
    <t xml:space="preserve">marketing/mkg_14_itch_io_banner_and_page_background.png</t>
  </si>
  <si>
    <t xml:space="preserve">MKG-15</t>
  </si>
  <si>
    <t xml:space="preserve">Trailer end card and title cards</t>
  </si>
  <si>
    <t xml:space="preserve">End card with the logo, store buttons area, and release date; three short title cards for the trailer beats (Navigate, Settle, Return).</t>
  </si>
  <si>
    <t xml:space="preserve">Trailer</t>
  </si>
  <si>
    <t xml:space="preserve">Video still</t>
  </si>
  <si>
    <t xml:space="preserve">Leave space for platform logos added later.</t>
  </si>
  <si>
    <t xml:space="preserve">marketing/mkg_15_trailer_end_card_and_title_cards.png</t>
  </si>
  <si>
    <t xml:space="preserve">MKG-16</t>
  </si>
  <si>
    <t xml:space="preserve">Press kit logo set</t>
  </si>
  <si>
    <t xml:space="preserve">Logo on dark, on light, and transparent; plus the key art without text.</t>
  </si>
  <si>
    <t xml:space="preserve">Press</t>
  </si>
  <si>
    <t xml:space="preserve">3840×2160 max</t>
  </si>
  <si>
    <t xml:space="preserve">4 files</t>
  </si>
  <si>
    <t xml:space="preserve">res://art/marketing/mkg_16_press_kit_logo_set.png (+ .svg)</t>
  </si>
  <si>
    <t xml:space="preserve">Total estimated hours</t>
  </si>
</sst>
</file>

<file path=xl/styles.xml><?xml version="1.0" encoding="utf-8"?>
<styleSheet xmlns="http://schemas.openxmlformats.org/spreadsheetml/2006/main">
  <numFmts count="4">
    <numFmt numFmtId="164" formatCode="General"/>
    <numFmt numFmtId="165" formatCode="#,##0"/>
    <numFmt numFmtId="166" formatCode="0%"/>
    <numFmt numFmtId="167" formatCode="General"/>
  </numFmts>
  <fonts count="13">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0"/>
      <color rgb="FFF7F1E6"/>
      <name val="Arial"/>
      <family val="0"/>
      <charset val="1"/>
    </font>
    <font>
      <b val="true"/>
      <sz val="10"/>
      <color rgb="FFFFFFFF"/>
      <name val="Arial"/>
      <family val="0"/>
      <charset val="1"/>
    </font>
    <font>
      <b val="true"/>
      <sz val="10"/>
      <color rgb="FF1C1915"/>
      <name val="Arial"/>
      <family val="0"/>
      <charset val="1"/>
    </font>
    <font>
      <sz val="10"/>
      <color rgb="FF1C1915"/>
      <name val="Arial"/>
      <family val="0"/>
      <charset val="1"/>
    </font>
    <font>
      <sz val="10"/>
      <color rgb="FF0000FF"/>
      <name val="Arial"/>
      <family val="0"/>
      <charset val="1"/>
    </font>
    <font>
      <i val="true"/>
      <sz val="10"/>
      <color rgb="FF5C564C"/>
      <name val="Arial"/>
      <family val="0"/>
      <charset val="1"/>
    </font>
    <font>
      <sz val="9"/>
      <color rgb="FF1C1915"/>
      <name val="Arial"/>
      <family val="0"/>
      <charset val="1"/>
    </font>
    <font>
      <i val="true"/>
      <sz val="9"/>
      <color rgb="FF1C1915"/>
      <name val="Arial"/>
      <family val="0"/>
      <charset val="1"/>
    </font>
  </fonts>
  <fills count="25">
    <fill>
      <patternFill patternType="none"/>
    </fill>
    <fill>
      <patternFill patternType="gray125"/>
    </fill>
    <fill>
      <patternFill patternType="solid">
        <fgColor rgb="FF1E3A4C"/>
        <bgColor rgb="FF2F4A57"/>
      </patternFill>
    </fill>
    <fill>
      <patternFill patternType="solid">
        <fgColor rgb="FF6B3E26"/>
        <bgColor rgb="FF4A3828"/>
      </patternFill>
    </fill>
    <fill>
      <patternFill patternType="solid">
        <fgColor rgb="FF2E5670"/>
        <bgColor rgb="FF2F4A57"/>
      </patternFill>
    </fill>
    <fill>
      <patternFill patternType="solid">
        <fgColor rgb="FFF4EFE6"/>
        <bgColor rgb="FFF7F1E6"/>
      </patternFill>
    </fill>
    <fill>
      <patternFill patternType="solid">
        <fgColor rgb="FFC4A46A"/>
        <bgColor rgb="FFC9A55A"/>
      </patternFill>
    </fill>
    <fill>
      <patternFill patternType="solid">
        <fgColor rgb="FFFFF4CC"/>
        <bgColor rgb="FFF5EBD5"/>
      </patternFill>
    </fill>
    <fill>
      <patternFill patternType="solid">
        <fgColor rgb="FF2F4A57"/>
        <bgColor rgb="FF2E4A36"/>
      </patternFill>
    </fill>
    <fill>
      <patternFill patternType="solid">
        <fgColor rgb="FF5C7C8A"/>
        <bgColor rgb="FF6E8A4E"/>
      </patternFill>
    </fill>
    <fill>
      <patternFill patternType="solid">
        <fgColor rgb="FFDCE3E3"/>
        <bgColor rgb="FFE8E2D4"/>
      </patternFill>
    </fill>
    <fill>
      <patternFill patternType="solid">
        <fgColor rgb="FFA9C4D0"/>
        <bgColor rgb="FFC6D9C4"/>
      </patternFill>
    </fill>
    <fill>
      <patternFill patternType="solid">
        <fgColor rgb="FF141F2B"/>
        <bgColor rgb="FF1C1915"/>
      </patternFill>
    </fill>
    <fill>
      <patternFill patternType="solid">
        <fgColor rgb="FF2E4A36"/>
        <bgColor rgb="FF2F4A57"/>
      </patternFill>
    </fill>
    <fill>
      <patternFill patternType="solid">
        <fgColor rgb="FF6E8A4E"/>
        <bgColor rgb="FF5C7C8A"/>
      </patternFill>
    </fill>
    <fill>
      <patternFill patternType="solid">
        <fgColor rgb="FFC8B560"/>
        <bgColor rgb="FFC9A55A"/>
      </patternFill>
    </fill>
    <fill>
      <patternFill patternType="solid">
        <fgColor rgb="FF4A3828"/>
        <bgColor rgb="FF6B3E26"/>
      </patternFill>
    </fill>
    <fill>
      <patternFill patternType="solid">
        <fgColor rgb="FF8A6D4E"/>
        <bgColor rgb="FF5E5F5C"/>
      </patternFill>
    </fill>
    <fill>
      <patternFill patternType="solid">
        <fgColor rgb="FFE8E2D4"/>
        <bgColor rgb="FFEDE3CC"/>
      </patternFill>
    </fill>
    <fill>
      <patternFill patternType="solid">
        <fgColor rgb="FFEDE3CC"/>
        <bgColor rgb="FFE8E2D4"/>
      </patternFill>
    </fill>
    <fill>
      <patternFill patternType="solid">
        <fgColor rgb="FF9E3A2E"/>
        <bgColor rgb="FF8C2F2F"/>
      </patternFill>
    </fill>
    <fill>
      <patternFill patternType="solid">
        <fgColor rgb="FF3F5D85"/>
        <bgColor rgb="FF2E5670"/>
      </patternFill>
    </fill>
    <fill>
      <patternFill patternType="solid">
        <fgColor rgb="FF5E5F5C"/>
        <bgColor rgb="FF5C564C"/>
      </patternFill>
    </fill>
    <fill>
      <patternFill patternType="solid">
        <fgColor rgb="FFC9A55A"/>
        <bgColor rgb="FFC4A46A"/>
      </patternFill>
    </fill>
    <fill>
      <patternFill patternType="solid">
        <fgColor rgb="FF1C1915"/>
        <bgColor rgb="FF141F2B"/>
      </patternFill>
    </fill>
  </fills>
  <borders count="3">
    <border diagonalUp="false" diagonalDown="false">
      <left/>
      <right/>
      <top/>
      <bottom/>
      <diagonal/>
    </border>
    <border diagonalUp="false" diagonalDown="false">
      <left style="thin">
        <color rgb="FFD9CBB8"/>
      </left>
      <right style="thin">
        <color rgb="FFD9CBB8"/>
      </right>
      <top style="thin">
        <color rgb="FFD9CBB8"/>
      </top>
      <bottom style="thin">
        <color rgb="FFD9CBB8"/>
      </bottom>
      <diagonal/>
    </border>
    <border diagonalUp="false" diagonalDown="false">
      <left style="thin">
        <color rgb="FFD9CBB8"/>
      </left>
      <right/>
      <top style="thin">
        <color rgb="FFD9CBB8"/>
      </top>
      <bottom style="thin">
        <color rgb="FFD9CB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3" borderId="0" xfId="0" applyFont="true" applyBorder="true" applyAlignment="true" applyProtection="false">
      <alignment horizontal="general" vertical="center" textRotation="0" wrapText="false" indent="1"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6" fontId="8"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5" fontId="7" fillId="6" borderId="1" xfId="0" applyFont="true" applyBorder="true" applyAlignment="true" applyProtection="false">
      <alignment horizontal="center" vertical="center" textRotation="0" wrapText="true" indent="0" shrinkToFit="false"/>
      <protection locked="true" hidden="false"/>
    </xf>
    <xf numFmtId="166"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general" vertical="center" textRotation="0" wrapText="false" indent="1"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7" fontId="7" fillId="6" borderId="1"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4" fontId="0" fillId="16" borderId="1" xfId="0" applyFont="false" applyBorder="true" applyAlignment="false" applyProtection="false">
      <alignment horizontal="general" vertical="bottom" textRotation="0" wrapText="false" indent="0" shrinkToFit="false"/>
      <protection locked="true" hidden="false"/>
    </xf>
    <xf numFmtId="164" fontId="0" fillId="17" borderId="1" xfId="0" applyFont="false" applyBorder="true" applyAlignment="false" applyProtection="false">
      <alignment horizontal="general" vertical="bottom" textRotation="0" wrapText="false" indent="0" shrinkToFit="false"/>
      <protection locked="true" hidden="false"/>
    </xf>
    <xf numFmtId="164" fontId="0" fillId="18" borderId="1" xfId="0" applyFont="false" applyBorder="true" applyAlignment="false" applyProtection="false">
      <alignment horizontal="general" vertical="bottom" textRotation="0" wrapText="false" indent="0" shrinkToFit="false"/>
      <protection locked="true" hidden="false"/>
    </xf>
    <xf numFmtId="164" fontId="0" fillId="19" borderId="1" xfId="0" applyFont="false" applyBorder="true" applyAlignment="false" applyProtection="false">
      <alignment horizontal="general" vertical="bottom" textRotation="0" wrapText="false" indent="0" shrinkToFit="false"/>
      <protection locked="true" hidden="false"/>
    </xf>
    <xf numFmtId="164" fontId="0" fillId="20" borderId="1" xfId="0" applyFont="false" applyBorder="true" applyAlignment="false" applyProtection="false">
      <alignment horizontal="general" vertical="bottom" textRotation="0" wrapText="false" indent="0" shrinkToFit="false"/>
      <protection locked="true" hidden="false"/>
    </xf>
    <xf numFmtId="164" fontId="0" fillId="21" borderId="1" xfId="0" applyFont="false" applyBorder="true" applyAlignment="false" applyProtection="false">
      <alignment horizontal="general" vertical="bottom" textRotation="0" wrapText="false" indent="0" shrinkToFit="false"/>
      <protection locked="true" hidden="false"/>
    </xf>
    <xf numFmtId="164" fontId="0" fillId="22" borderId="1" xfId="0" applyFont="false" applyBorder="true" applyAlignment="false" applyProtection="false">
      <alignment horizontal="general" vertical="bottom" textRotation="0" wrapText="false" indent="0" shrinkToFit="false"/>
      <protection locked="true" hidden="false"/>
    </xf>
    <xf numFmtId="164" fontId="0" fillId="23" borderId="1" xfId="0" applyFont="false" applyBorder="true" applyAlignment="false" applyProtection="false">
      <alignment horizontal="general" vertical="bottom" textRotation="0" wrapText="false" indent="0" shrinkToFit="false"/>
      <protection locked="true" hidden="false"/>
    </xf>
    <xf numFmtId="164" fontId="0" fillId="24" borderId="1" xfId="0" applyFont="fals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2E5670"/>
          <bgColor rgb="FF000000"/>
        </patternFill>
      </fill>
    </dxf>
    <dxf>
      <fill>
        <patternFill patternType="solid">
          <fgColor rgb="FFF4EFE6"/>
          <bgColor rgb="FF000000"/>
        </patternFill>
      </fill>
    </dxf>
    <dxf>
      <fill>
        <patternFill patternType="solid">
          <bgColor rgb="FF000000"/>
        </patternFill>
      </fill>
    </dxf>
    <dxf>
      <fill>
        <patternFill patternType="solid">
          <fgColor rgb="FF1C1915"/>
          <bgColor rgb="FF000000"/>
        </patternFill>
      </fill>
    </dxf>
    <dxf>
      <fill>
        <patternFill patternType="solid">
          <fgColor rgb="FFFFFFFF"/>
          <bgColor rgb="FF000000"/>
        </patternFill>
      </fill>
    </dxf>
    <dxf>
      <fill>
        <patternFill patternType="solid">
          <fgColor rgb="FF8C2F2F"/>
          <bgColor rgb="FF000000"/>
        </patternFill>
      </fill>
    </dxf>
    <dxf>
      <fill>
        <patternFill patternType="solid">
          <fgColor rgb="FFFFF4CC"/>
          <bgColor rgb="FF000000"/>
        </patternFill>
      </fill>
    </dxf>
    <dxf>
      <fill>
        <patternFill patternType="solid">
          <fgColor rgb="FF0000FF"/>
          <bgColor rgb="FF000000"/>
        </patternFill>
      </fill>
    </dxf>
    <dxf>
      <fill>
        <patternFill>
          <bgColor rgb="FFC6D9C4"/>
        </patternFill>
      </fill>
    </dxf>
    <dxf>
      <fill>
        <patternFill>
          <bgColor rgb="FFD7E6C9"/>
        </patternFill>
      </fill>
    </dxf>
    <dxf>
      <fill>
        <patternFill>
          <bgColor rgb="FFF0D9A0"/>
        </patternFill>
      </fill>
    </dxf>
    <dxf>
      <fill>
        <patternFill>
          <bgColor rgb="FFF5E6BE"/>
        </patternFill>
      </fill>
    </dxf>
    <dxf>
      <fill>
        <patternFill>
          <bgColor rgb="FFF5EBD5"/>
        </patternFill>
      </fill>
    </dxf>
    <dxf>
      <fill>
        <patternFill>
          <bgColor rgb="FFD9D4CC"/>
        </patternFill>
      </fill>
    </dxf>
    <dxf>
      <font>
        <name val="Arial"/>
        <charset val="1"/>
        <family val="0"/>
        <b val="1"/>
        <color rgb="FF8C2F2F"/>
      </font>
    </dxf>
  </dxfs>
  <colors>
    <indexedColors>
      <rgbColor rgb="FF000000"/>
      <rgbColor rgb="FFFFFFFF"/>
      <rgbColor rgb="FFFF0000"/>
      <rgbColor rgb="FF00FF00"/>
      <rgbColor rgb="FF0000FF"/>
      <rgbColor rgb="FFF5EBD5"/>
      <rgbColor rgb="FFFF00FF"/>
      <rgbColor rgb="FF00FFFF"/>
      <rgbColor rgb="FF800000"/>
      <rgbColor rgb="FF2E4A36"/>
      <rgbColor rgb="FF000080"/>
      <rgbColor rgb="FF8A6D4E"/>
      <rgbColor rgb="FF800080"/>
      <rgbColor rgb="FF2E5670"/>
      <rgbColor rgb="FFA9C4D0"/>
      <rgbColor rgb="FF6E8A4E"/>
      <rgbColor rgb="FF9999FF"/>
      <rgbColor rgb="FF8C2F2F"/>
      <rgbColor rgb="FFFFF4CC"/>
      <rgbColor rgb="FFDCE3E3"/>
      <rgbColor rgb="FF660066"/>
      <rgbColor rgb="FFC9A55A"/>
      <rgbColor rgb="FF0066CC"/>
      <rgbColor rgb="FFD9D4CC"/>
      <rgbColor rgb="FF000080"/>
      <rgbColor rgb="FFFF00FF"/>
      <rgbColor rgb="FFF7F1E6"/>
      <rgbColor rgb="FF00FFFF"/>
      <rgbColor rgb="FF800080"/>
      <rgbColor rgb="FF800000"/>
      <rgbColor rgb="FF5C564C"/>
      <rgbColor rgb="FF0000FF"/>
      <rgbColor rgb="FF00CCFF"/>
      <rgbColor rgb="FFF4EFE6"/>
      <rgbColor rgb="FFD7E6C9"/>
      <rgbColor rgb="FFF5E6BE"/>
      <rgbColor rgb="FFC6D9C4"/>
      <rgbColor rgb="FFD9CBB8"/>
      <rgbColor rgb="FFE8E2D4"/>
      <rgbColor rgb="FFF0D9A0"/>
      <rgbColor rgb="FF3F5D85"/>
      <rgbColor rgb="FF33CCCC"/>
      <rgbColor rgb="FFC8B560"/>
      <rgbColor rgb="FFEDE3CC"/>
      <rgbColor rgb="FFFF9900"/>
      <rgbColor rgb="FFFF6600"/>
      <rgbColor rgb="FF5C7C8A"/>
      <rgbColor rgb="FFC4A46A"/>
      <rgbColor rgb="FF1E3A4C"/>
      <rgbColor rgb="FF5E5F5C"/>
      <rgbColor rgb="FF141F2B"/>
      <rgbColor rgb="FF1C1915"/>
      <rgbColor rgb="FF9E3A2E"/>
      <rgbColor rgb="FF6B3E26"/>
      <rgbColor rgb="FF2F4A57"/>
      <rgbColor rgb="FF4A382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2"/>
    <col collapsed="false" customWidth="true" hidden="false" outlineLevel="0" max="7" min="5" style="0" width="14"/>
    <col collapsed="false" customWidth="true" hidden="false" outlineLevel="0" max="8" min="8" style="0" width="16"/>
  </cols>
  <sheetData>
    <row r="1" customFormat="false" ht="31.5"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4" customFormat="false" ht="18" hidden="false" customHeight="true" outlineLevel="0" collapsed="false">
      <c r="A4" s="3" t="s">
        <v>2</v>
      </c>
      <c r="B4" s="3"/>
      <c r="C4" s="3"/>
      <c r="D4" s="3"/>
      <c r="E4" s="3"/>
      <c r="F4" s="3"/>
      <c r="G4" s="3"/>
      <c r="H4" s="3"/>
    </row>
    <row r="5" customFormat="false" ht="30" hidden="false" customHeight="true" outlineLevel="0" collapsed="false">
      <c r="A5" s="4" t="s">
        <v>3</v>
      </c>
      <c r="B5" s="4" t="s">
        <v>4</v>
      </c>
      <c r="C5" s="4" t="s">
        <v>5</v>
      </c>
      <c r="D5" s="4" t="s">
        <v>6</v>
      </c>
      <c r="E5" s="4" t="s">
        <v>7</v>
      </c>
      <c r="F5" s="4" t="s">
        <v>8</v>
      </c>
      <c r="G5" s="4" t="s">
        <v>9</v>
      </c>
      <c r="H5" s="4" t="s">
        <v>10</v>
      </c>
    </row>
    <row r="6" customFormat="false" ht="15" hidden="false" customHeight="false" outlineLevel="0" collapsed="false">
      <c r="A6" s="5" t="s">
        <v>11</v>
      </c>
      <c r="B6" s="6" t="n">
        <f aca="false">COUNTIF('Asset List'!$K$5:$K$262,A6)</f>
        <v>6</v>
      </c>
      <c r="C6" s="6" t="n">
        <f aca="false">COUNTIFS('Asset List'!$K$5:$K$262,A6,'Asset List'!$L$5:$L$262,"Must")</f>
        <v>5</v>
      </c>
      <c r="D6" s="6" t="n">
        <f aca="false">SUMIF('Asset List'!$K$5:$K$262,A6,'Asset List'!$O$5:$O$262)</f>
        <v>33</v>
      </c>
      <c r="E6" s="6" t="n">
        <f aca="false">SUMIFS('Asset List'!$O$5:$O$262,'Asset List'!$K$5:$K$262,A6,'Asset List'!$P$5:$P$262,"Final")+SUMIFS('Asset List'!$O$5:$O$262,'Asset List'!$K$5:$K$262,A6,'Asset List'!$P$5:$P$262,"Imported")</f>
        <v>0</v>
      </c>
      <c r="F6" s="6" t="n">
        <f aca="false">D6-E6</f>
        <v>33</v>
      </c>
      <c r="G6" s="7" t="n">
        <f aca="false">IF(D6=0,0,E6/D6)</f>
        <v>0</v>
      </c>
      <c r="H6" s="6" t="s">
        <v>12</v>
      </c>
    </row>
    <row r="7" customFormat="false" ht="15" hidden="false" customHeight="false" outlineLevel="0" collapsed="false">
      <c r="A7" s="8" t="s">
        <v>13</v>
      </c>
      <c r="B7" s="9" t="n">
        <f aca="false">COUNTIF('Asset List'!$K$5:$K$262,A7)</f>
        <v>88</v>
      </c>
      <c r="C7" s="9" t="n">
        <f aca="false">COUNTIFS('Asset List'!$K$5:$K$262,A7,'Asset List'!$L$5:$L$262,"Must")</f>
        <v>85</v>
      </c>
      <c r="D7" s="9" t="n">
        <f aca="false">SUMIF('Asset List'!$K$5:$K$262,A7,'Asset List'!$O$5:$O$262)</f>
        <v>367</v>
      </c>
      <c r="E7" s="9" t="n">
        <f aca="false">SUMIFS('Asset List'!$O$5:$O$262,'Asset List'!$K$5:$K$262,A7,'Asset List'!$P$5:$P$262,"Final")+SUMIFS('Asset List'!$O$5:$O$262,'Asset List'!$K$5:$K$262,A7,'Asset List'!$P$5:$P$262,"Imported")</f>
        <v>0</v>
      </c>
      <c r="F7" s="9" t="n">
        <f aca="false">D7-E7</f>
        <v>367</v>
      </c>
      <c r="G7" s="10" t="n">
        <f aca="false">IF(D7=0,0,E7/D7)</f>
        <v>0</v>
      </c>
      <c r="H7" s="9" t="s">
        <v>14</v>
      </c>
    </row>
    <row r="8" customFormat="false" ht="15" hidden="false" customHeight="false" outlineLevel="0" collapsed="false">
      <c r="A8" s="5" t="s">
        <v>15</v>
      </c>
      <c r="B8" s="6" t="n">
        <f aca="false">COUNTIF('Asset List'!$K$5:$K$262,A8)</f>
        <v>127</v>
      </c>
      <c r="C8" s="6" t="n">
        <f aca="false">COUNTIFS('Asset List'!$K$5:$K$262,A8,'Asset List'!$L$5:$L$262,"Must")</f>
        <v>106</v>
      </c>
      <c r="D8" s="6" t="n">
        <f aca="false">SUMIF('Asset List'!$K$5:$K$262,A8,'Asset List'!$O$5:$O$262)</f>
        <v>737</v>
      </c>
      <c r="E8" s="6" t="n">
        <f aca="false">SUMIFS('Asset List'!$O$5:$O$262,'Asset List'!$K$5:$K$262,A8,'Asset List'!$P$5:$P$262,"Final")+SUMIFS('Asset List'!$O$5:$O$262,'Asset List'!$K$5:$K$262,A8,'Asset List'!$P$5:$P$262,"Imported")</f>
        <v>0</v>
      </c>
      <c r="F8" s="6" t="n">
        <f aca="false">D8-E8</f>
        <v>737</v>
      </c>
      <c r="G8" s="7" t="n">
        <f aca="false">IF(D8=0,0,E8/D8)</f>
        <v>0</v>
      </c>
      <c r="H8" s="6" t="s">
        <v>16</v>
      </c>
    </row>
    <row r="9" customFormat="false" ht="15" hidden="false" customHeight="false" outlineLevel="0" collapsed="false">
      <c r="A9" s="8" t="s">
        <v>17</v>
      </c>
      <c r="B9" s="9" t="n">
        <f aca="false">COUNTIF('Asset List'!$K$5:$K$262,A9)</f>
        <v>16</v>
      </c>
      <c r="C9" s="9" t="n">
        <f aca="false">COUNTIFS('Asset List'!$K$5:$K$262,A9,'Asset List'!$L$5:$L$262,"Must")</f>
        <v>6</v>
      </c>
      <c r="D9" s="9" t="n">
        <f aca="false">SUMIF('Asset List'!$K$5:$K$262,A9,'Asset List'!$O$5:$O$262)</f>
        <v>63</v>
      </c>
      <c r="E9" s="9" t="n">
        <f aca="false">SUMIFS('Asset List'!$O$5:$O$262,'Asset List'!$K$5:$K$262,A9,'Asset List'!$P$5:$P$262,"Final")+SUMIFS('Asset List'!$O$5:$O$262,'Asset List'!$K$5:$K$262,A9,'Asset List'!$P$5:$P$262,"Imported")</f>
        <v>0</v>
      </c>
      <c r="F9" s="9" t="n">
        <f aca="false">D9-E9</f>
        <v>63</v>
      </c>
      <c r="G9" s="10" t="n">
        <f aca="false">IF(D9=0,0,E9/D9)</f>
        <v>0</v>
      </c>
      <c r="H9" s="9" t="s">
        <v>18</v>
      </c>
    </row>
    <row r="10" customFormat="false" ht="15" hidden="false" customHeight="false" outlineLevel="0" collapsed="false">
      <c r="A10" s="5" t="s">
        <v>19</v>
      </c>
      <c r="B10" s="6" t="n">
        <f aca="false">COUNTIF('Asset List'!$K$5:$K$262,A10)</f>
        <v>18</v>
      </c>
      <c r="C10" s="6" t="n">
        <f aca="false">COUNTIFS('Asset List'!$K$5:$K$262,A10,'Asset List'!$L$5:$L$262,"Must")</f>
        <v>17</v>
      </c>
      <c r="D10" s="6" t="n">
        <f aca="false">SUMIF('Asset List'!$K$5:$K$262,A10,'Asset List'!$O$5:$O$262)</f>
        <v>119</v>
      </c>
      <c r="E10" s="6" t="n">
        <f aca="false">SUMIFS('Asset List'!$O$5:$O$262,'Asset List'!$K$5:$K$262,A10,'Asset List'!$P$5:$P$262,"Final")+SUMIFS('Asset List'!$O$5:$O$262,'Asset List'!$K$5:$K$262,A10,'Asset List'!$P$5:$P$262,"Imported")</f>
        <v>0</v>
      </c>
      <c r="F10" s="6" t="n">
        <f aca="false">D10-E10</f>
        <v>119</v>
      </c>
      <c r="G10" s="7" t="n">
        <f aca="false">IF(D10=0,0,E10/D10)</f>
        <v>0</v>
      </c>
      <c r="H10" s="6" t="s">
        <v>20</v>
      </c>
    </row>
    <row r="11" customFormat="false" ht="15" hidden="false" customHeight="false" outlineLevel="0" collapsed="false">
      <c r="A11" s="8" t="s">
        <v>21</v>
      </c>
      <c r="B11" s="9" t="n">
        <f aca="false">COUNTIF('Asset List'!$K$5:$K$262,A11)</f>
        <v>3</v>
      </c>
      <c r="C11" s="9" t="n">
        <f aca="false">COUNTIFS('Asset List'!$K$5:$K$262,A11,'Asset List'!$L$5:$L$262,"Must")</f>
        <v>1</v>
      </c>
      <c r="D11" s="9" t="n">
        <f aca="false">SUMIF('Asset List'!$K$5:$K$262,A11,'Asset List'!$O$5:$O$262)</f>
        <v>8</v>
      </c>
      <c r="E11" s="9" t="n">
        <f aca="false">SUMIFS('Asset List'!$O$5:$O$262,'Asset List'!$K$5:$K$262,A11,'Asset List'!$P$5:$P$262,"Final")+SUMIFS('Asset List'!$O$5:$O$262,'Asset List'!$K$5:$K$262,A11,'Asset List'!$P$5:$P$262,"Imported")</f>
        <v>0</v>
      </c>
      <c r="F11" s="9" t="n">
        <f aca="false">D11-E11</f>
        <v>8</v>
      </c>
      <c r="G11" s="10" t="n">
        <f aca="false">IF(D11=0,0,E11/D11)</f>
        <v>0</v>
      </c>
      <c r="H11" s="9" t="s">
        <v>22</v>
      </c>
    </row>
    <row r="12" customFormat="false" ht="15" hidden="false" customHeight="false" outlineLevel="0" collapsed="false">
      <c r="A12" s="11" t="s">
        <v>23</v>
      </c>
      <c r="B12" s="12" t="n">
        <f aca="false">SUM(B6:B11)</f>
        <v>258</v>
      </c>
      <c r="C12" s="12" t="n">
        <f aca="false">SUM(C6:C11)</f>
        <v>220</v>
      </c>
      <c r="D12" s="12" t="n">
        <f aca="false">SUM(D6:D11)</f>
        <v>1327</v>
      </c>
      <c r="E12" s="12" t="n">
        <f aca="false">SUM(E6:E11)</f>
        <v>0</v>
      </c>
      <c r="F12" s="12" t="n">
        <f aca="false">SUM(F6:F11)</f>
        <v>1327</v>
      </c>
      <c r="G12" s="13" t="n">
        <f aca="false">IF(D12=0,0,E12/D12)</f>
        <v>0</v>
      </c>
      <c r="H12" s="14"/>
    </row>
    <row r="14" customFormat="false" ht="18" hidden="false" customHeight="true" outlineLevel="0" collapsed="false">
      <c r="A14" s="15" t="s">
        <v>24</v>
      </c>
      <c r="B14" s="15"/>
      <c r="C14" s="15"/>
      <c r="D14" s="15"/>
      <c r="E14" s="15"/>
      <c r="F14" s="15"/>
      <c r="G14" s="15"/>
      <c r="H14" s="15"/>
    </row>
    <row r="15" customFormat="false" ht="30" hidden="false" customHeight="true" outlineLevel="0" collapsed="false">
      <c r="A15" s="4" t="s">
        <v>25</v>
      </c>
      <c r="B15" s="4" t="s">
        <v>26</v>
      </c>
      <c r="C15" s="4" t="s">
        <v>27</v>
      </c>
      <c r="D15" s="4"/>
      <c r="E15" s="4"/>
      <c r="F15" s="4"/>
      <c r="G15" s="4"/>
      <c r="H15" s="4"/>
    </row>
    <row r="16" customFormat="false" ht="15" hidden="false" customHeight="true" outlineLevel="0" collapsed="false">
      <c r="A16" s="5" t="s">
        <v>28</v>
      </c>
      <c r="B16" s="16" t="n">
        <v>31</v>
      </c>
      <c r="C16" s="17" t="s">
        <v>29</v>
      </c>
      <c r="D16" s="17"/>
      <c r="E16" s="17"/>
      <c r="F16" s="17"/>
      <c r="G16" s="17"/>
      <c r="H16" s="17"/>
    </row>
    <row r="17" customFormat="false" ht="15" hidden="false" customHeight="true" outlineLevel="0" collapsed="false">
      <c r="A17" s="8" t="s">
        <v>30</v>
      </c>
      <c r="B17" s="16" t="n">
        <v>40</v>
      </c>
      <c r="C17" s="18" t="s">
        <v>31</v>
      </c>
      <c r="D17" s="18"/>
      <c r="E17" s="18"/>
      <c r="F17" s="18"/>
      <c r="G17" s="18"/>
      <c r="H17" s="18"/>
    </row>
    <row r="18" customFormat="false" ht="15" hidden="false" customHeight="true" outlineLevel="0" collapsed="false">
      <c r="A18" s="5" t="s">
        <v>32</v>
      </c>
      <c r="B18" s="6" t="n">
        <f aca="false">B16*B17</f>
        <v>1240</v>
      </c>
      <c r="C18" s="17" t="s">
        <v>33</v>
      </c>
      <c r="D18" s="17"/>
      <c r="E18" s="17"/>
      <c r="F18" s="17"/>
      <c r="G18" s="17"/>
      <c r="H18" s="17"/>
    </row>
    <row r="19" customFormat="false" ht="15" hidden="false" customHeight="true" outlineLevel="0" collapsed="false">
      <c r="A19" s="8" t="s">
        <v>34</v>
      </c>
      <c r="B19" s="9" t="n">
        <f aca="false">D12</f>
        <v>1327</v>
      </c>
      <c r="C19" s="18" t="s">
        <v>35</v>
      </c>
      <c r="D19" s="18"/>
      <c r="E19" s="18"/>
      <c r="F19" s="18"/>
      <c r="G19" s="18"/>
      <c r="H19" s="18"/>
    </row>
    <row r="20" customFormat="false" ht="15" hidden="false" customHeight="true" outlineLevel="0" collapsed="false">
      <c r="A20" s="5" t="s">
        <v>36</v>
      </c>
      <c r="B20" s="6" t="n">
        <f aca="false">SUMIF('Asset List'!$N$5:$N$262,"Yes",'Asset List'!$O$5:$O$262)</f>
        <v>399</v>
      </c>
      <c r="C20" s="17" t="s">
        <v>37</v>
      </c>
      <c r="D20" s="17"/>
      <c r="E20" s="17"/>
      <c r="F20" s="17"/>
      <c r="G20" s="17"/>
      <c r="H20" s="17"/>
    </row>
    <row r="21" customFormat="false" ht="23.85" hidden="false" customHeight="true" outlineLevel="0" collapsed="false">
      <c r="A21" s="8" t="s">
        <v>38</v>
      </c>
      <c r="B21" s="9" t="n">
        <f aca="false">B19-B20</f>
        <v>928</v>
      </c>
      <c r="C21" s="18" t="s">
        <v>39</v>
      </c>
      <c r="D21" s="18"/>
      <c r="E21" s="18"/>
      <c r="F21" s="18"/>
      <c r="G21" s="18"/>
      <c r="H21" s="18"/>
    </row>
    <row r="22" customFormat="false" ht="23.85" hidden="false" customHeight="true" outlineLevel="0" collapsed="false">
      <c r="A22" s="5" t="s">
        <v>40</v>
      </c>
      <c r="B22" s="7" t="n">
        <f aca="false">IF(B18=0,0,B21/B18)</f>
        <v>0.748387096774194</v>
      </c>
      <c r="C22" s="17" t="s">
        <v>41</v>
      </c>
      <c r="D22" s="17"/>
      <c r="E22" s="17"/>
      <c r="F22" s="17"/>
      <c r="G22" s="17"/>
      <c r="H22" s="17"/>
    </row>
    <row r="24" customFormat="false" ht="18" hidden="false" customHeight="true" outlineLevel="0" collapsed="false">
      <c r="A24" s="3" t="s">
        <v>42</v>
      </c>
      <c r="B24" s="3"/>
      <c r="C24" s="3"/>
      <c r="D24" s="3"/>
      <c r="E24" s="3"/>
      <c r="F24" s="3"/>
      <c r="G24" s="3"/>
      <c r="H24" s="3"/>
    </row>
    <row r="25" customFormat="false" ht="30" hidden="false" customHeight="true" outlineLevel="0" collapsed="false">
      <c r="A25" s="4" t="s">
        <v>43</v>
      </c>
      <c r="B25" s="4" t="s">
        <v>4</v>
      </c>
      <c r="C25" s="4" t="s">
        <v>5</v>
      </c>
      <c r="D25" s="4" t="s">
        <v>6</v>
      </c>
      <c r="E25" s="4" t="s">
        <v>7</v>
      </c>
      <c r="F25" s="4" t="s">
        <v>8</v>
      </c>
      <c r="G25" s="4" t="s">
        <v>9</v>
      </c>
      <c r="H25" s="4" t="s">
        <v>44</v>
      </c>
    </row>
    <row r="26" customFormat="false" ht="15" hidden="false" customHeight="false" outlineLevel="0" collapsed="false">
      <c r="A26" s="5" t="s">
        <v>45</v>
      </c>
      <c r="B26" s="6" t="n">
        <f aca="false">COUNTIF('Asset List'!$B$5:$B$262,A26)</f>
        <v>6</v>
      </c>
      <c r="C26" s="6" t="n">
        <f aca="false">COUNTIFS('Asset List'!$B$5:$B$262,A26,'Asset List'!$L$5:$L$262,"Must")</f>
        <v>5</v>
      </c>
      <c r="D26" s="6" t="n">
        <f aca="false">SUMIF('Asset List'!$B$5:$B$262,A26,'Asset List'!$O$5:$O$262)</f>
        <v>33</v>
      </c>
      <c r="E26" s="6" t="n">
        <f aca="false">SUMIFS('Asset List'!$O$5:$O$262,'Asset List'!$B$5:$B$262,A26,'Asset List'!$P$5:$P$262,"Final")+SUMIFS('Asset List'!$O$5:$O$262,'Asset List'!$B$5:$B$262,A26,'Asset List'!$P$5:$P$262,"Imported")</f>
        <v>0</v>
      </c>
      <c r="F26" s="6" t="n">
        <f aca="false">D26-E26</f>
        <v>33</v>
      </c>
      <c r="G26" s="7" t="n">
        <f aca="false">IF(D26=0,0,E26/D26)</f>
        <v>0</v>
      </c>
      <c r="H26" s="6" t="s">
        <v>46</v>
      </c>
    </row>
    <row r="27" customFormat="false" ht="15" hidden="false" customHeight="false" outlineLevel="0" collapsed="false">
      <c r="A27" s="8" t="s">
        <v>47</v>
      </c>
      <c r="B27" s="9" t="n">
        <f aca="false">COUNTIF('Asset List'!$B$5:$B$262,A27)</f>
        <v>16</v>
      </c>
      <c r="C27" s="9" t="n">
        <f aca="false">COUNTIFS('Asset List'!$B$5:$B$262,A27,'Asset List'!$L$5:$L$262,"Must")</f>
        <v>13</v>
      </c>
      <c r="D27" s="9" t="n">
        <f aca="false">SUMIF('Asset List'!$B$5:$B$262,A27,'Asset List'!$O$5:$O$262)</f>
        <v>65</v>
      </c>
      <c r="E27" s="9" t="n">
        <f aca="false">SUMIFS('Asset List'!$O$5:$O$262,'Asset List'!$B$5:$B$262,A27,'Asset List'!$P$5:$P$262,"Final")+SUMIFS('Asset List'!$O$5:$O$262,'Asset List'!$B$5:$B$262,A27,'Asset List'!$P$5:$P$262,"Imported")</f>
        <v>0</v>
      </c>
      <c r="F27" s="9" t="n">
        <f aca="false">D27-E27</f>
        <v>65</v>
      </c>
      <c r="G27" s="10" t="n">
        <f aca="false">IF(D27=0,0,E27/D27)</f>
        <v>0</v>
      </c>
      <c r="H27" s="9" t="s">
        <v>48</v>
      </c>
    </row>
    <row r="28" customFormat="false" ht="15" hidden="false" customHeight="false" outlineLevel="0" collapsed="false">
      <c r="A28" s="5" t="s">
        <v>49</v>
      </c>
      <c r="B28" s="6" t="n">
        <f aca="false">COUNTIF('Asset List'!$B$5:$B$262,A28)</f>
        <v>7</v>
      </c>
      <c r="C28" s="6" t="n">
        <f aca="false">COUNTIFS('Asset List'!$B$5:$B$262,A28,'Asset List'!$L$5:$L$262,"Must")</f>
        <v>7</v>
      </c>
      <c r="D28" s="6" t="n">
        <f aca="false">SUMIF('Asset List'!$B$5:$B$262,A28,'Asset List'!$O$5:$O$262)</f>
        <v>23</v>
      </c>
      <c r="E28" s="6" t="n">
        <f aca="false">SUMIFS('Asset List'!$O$5:$O$262,'Asset List'!$B$5:$B$262,A28,'Asset List'!$P$5:$P$262,"Final")+SUMIFS('Asset List'!$O$5:$O$262,'Asset List'!$B$5:$B$262,A28,'Asset List'!$P$5:$P$262,"Imported")</f>
        <v>0</v>
      </c>
      <c r="F28" s="6" t="n">
        <f aca="false">D28-E28</f>
        <v>23</v>
      </c>
      <c r="G28" s="7" t="n">
        <f aca="false">IF(D28=0,0,E28/D28)</f>
        <v>0</v>
      </c>
      <c r="H28" s="6" t="s">
        <v>50</v>
      </c>
    </row>
    <row r="29" customFormat="false" ht="15" hidden="false" customHeight="false" outlineLevel="0" collapsed="false">
      <c r="A29" s="8" t="s">
        <v>51</v>
      </c>
      <c r="B29" s="9" t="n">
        <f aca="false">COUNTIF('Asset List'!$B$5:$B$262,A29)</f>
        <v>10</v>
      </c>
      <c r="C29" s="9" t="n">
        <f aca="false">COUNTIFS('Asset List'!$B$5:$B$262,A29,'Asset List'!$L$5:$L$262,"Must")</f>
        <v>7</v>
      </c>
      <c r="D29" s="9" t="n">
        <f aca="false">SUMIF('Asset List'!$B$5:$B$262,A29,'Asset List'!$O$5:$O$262)</f>
        <v>44</v>
      </c>
      <c r="E29" s="9" t="n">
        <f aca="false">SUMIFS('Asset List'!$O$5:$O$262,'Asset List'!$B$5:$B$262,A29,'Asset List'!$P$5:$P$262,"Final")+SUMIFS('Asset List'!$O$5:$O$262,'Asset List'!$B$5:$B$262,A29,'Asset List'!$P$5:$P$262,"Imported")</f>
        <v>0</v>
      </c>
      <c r="F29" s="9" t="n">
        <f aca="false">D29-E29</f>
        <v>44</v>
      </c>
      <c r="G29" s="10" t="n">
        <f aca="false">IF(D29=0,0,E29/D29)</f>
        <v>0</v>
      </c>
      <c r="H29" s="9" t="s">
        <v>52</v>
      </c>
    </row>
    <row r="30" customFormat="false" ht="15" hidden="false" customHeight="false" outlineLevel="0" collapsed="false">
      <c r="A30" s="5" t="s">
        <v>53</v>
      </c>
      <c r="B30" s="6" t="n">
        <f aca="false">COUNTIF('Asset List'!$B$5:$B$262,A30)</f>
        <v>13</v>
      </c>
      <c r="C30" s="6" t="n">
        <f aca="false">COUNTIFS('Asset List'!$B$5:$B$262,A30,'Asset List'!$L$5:$L$262,"Must")</f>
        <v>11</v>
      </c>
      <c r="D30" s="6" t="n">
        <f aca="false">SUMIF('Asset List'!$B$5:$B$262,A30,'Asset List'!$O$5:$O$262)</f>
        <v>88</v>
      </c>
      <c r="E30" s="6" t="n">
        <f aca="false">SUMIFS('Asset List'!$O$5:$O$262,'Asset List'!$B$5:$B$262,A30,'Asset List'!$P$5:$P$262,"Final")+SUMIFS('Asset List'!$O$5:$O$262,'Asset List'!$B$5:$B$262,A30,'Asset List'!$P$5:$P$262,"Imported")</f>
        <v>0</v>
      </c>
      <c r="F30" s="6" t="n">
        <f aca="false">D30-E30</f>
        <v>88</v>
      </c>
      <c r="G30" s="7" t="n">
        <f aca="false">IF(D30=0,0,E30/D30)</f>
        <v>0</v>
      </c>
      <c r="H30" s="6" t="s">
        <v>54</v>
      </c>
    </row>
    <row r="31" customFormat="false" ht="15" hidden="false" customHeight="false" outlineLevel="0" collapsed="false">
      <c r="A31" s="8" t="s">
        <v>55</v>
      </c>
      <c r="B31" s="9" t="n">
        <f aca="false">COUNTIF('Asset List'!$B$5:$B$262,A31)</f>
        <v>13</v>
      </c>
      <c r="C31" s="9" t="n">
        <f aca="false">COUNTIFS('Asset List'!$B$5:$B$262,A31,'Asset List'!$L$5:$L$262,"Must")</f>
        <v>12</v>
      </c>
      <c r="D31" s="9" t="n">
        <f aca="false">SUMIF('Asset List'!$B$5:$B$262,A31,'Asset List'!$O$5:$O$262)</f>
        <v>52</v>
      </c>
      <c r="E31" s="9" t="n">
        <f aca="false">SUMIFS('Asset List'!$O$5:$O$262,'Asset List'!$B$5:$B$262,A31,'Asset List'!$P$5:$P$262,"Final")+SUMIFS('Asset List'!$O$5:$O$262,'Asset List'!$B$5:$B$262,A31,'Asset List'!$P$5:$P$262,"Imported")</f>
        <v>0</v>
      </c>
      <c r="F31" s="9" t="n">
        <f aca="false">D31-E31</f>
        <v>52</v>
      </c>
      <c r="G31" s="10" t="n">
        <f aca="false">IF(D31=0,0,E31/D31)</f>
        <v>0</v>
      </c>
      <c r="H31" s="9" t="s">
        <v>56</v>
      </c>
    </row>
    <row r="32" customFormat="false" ht="15" hidden="false" customHeight="false" outlineLevel="0" collapsed="false">
      <c r="A32" s="5" t="s">
        <v>57</v>
      </c>
      <c r="B32" s="6" t="n">
        <f aca="false">COUNTIF('Asset List'!$B$5:$B$262,A32)</f>
        <v>7</v>
      </c>
      <c r="C32" s="6" t="n">
        <f aca="false">COUNTIFS('Asset List'!$B$5:$B$262,A32,'Asset List'!$L$5:$L$262,"Must")</f>
        <v>6</v>
      </c>
      <c r="D32" s="6" t="n">
        <f aca="false">SUMIF('Asset List'!$B$5:$B$262,A32,'Asset List'!$O$5:$O$262)</f>
        <v>14</v>
      </c>
      <c r="E32" s="6" t="n">
        <f aca="false">SUMIFS('Asset List'!$O$5:$O$262,'Asset List'!$B$5:$B$262,A32,'Asset List'!$P$5:$P$262,"Final")+SUMIFS('Asset List'!$O$5:$O$262,'Asset List'!$B$5:$B$262,A32,'Asset List'!$P$5:$P$262,"Imported")</f>
        <v>0</v>
      </c>
      <c r="F32" s="6" t="n">
        <f aca="false">D32-E32</f>
        <v>14</v>
      </c>
      <c r="G32" s="7" t="n">
        <f aca="false">IF(D32=0,0,E32/D32)</f>
        <v>0</v>
      </c>
      <c r="H32" s="6" t="s">
        <v>58</v>
      </c>
    </row>
    <row r="33" customFormat="false" ht="23.85" hidden="false" customHeight="false" outlineLevel="0" collapsed="false">
      <c r="A33" s="8" t="s">
        <v>59</v>
      </c>
      <c r="B33" s="9" t="n">
        <f aca="false">COUNTIF('Asset List'!$B$5:$B$262,A33)</f>
        <v>10</v>
      </c>
      <c r="C33" s="9" t="n">
        <f aca="false">COUNTIFS('Asset List'!$B$5:$B$262,A33,'Asset List'!$L$5:$L$262,"Must")</f>
        <v>10</v>
      </c>
      <c r="D33" s="9" t="n">
        <f aca="false">SUMIF('Asset List'!$B$5:$B$262,A33,'Asset List'!$O$5:$O$262)</f>
        <v>36</v>
      </c>
      <c r="E33" s="9" t="n">
        <f aca="false">SUMIFS('Asset List'!$O$5:$O$262,'Asset List'!$B$5:$B$262,A33,'Asset List'!$P$5:$P$262,"Final")+SUMIFS('Asset List'!$O$5:$O$262,'Asset List'!$B$5:$B$262,A33,'Asset List'!$P$5:$P$262,"Imported")</f>
        <v>0</v>
      </c>
      <c r="F33" s="9" t="n">
        <f aca="false">D33-E33</f>
        <v>36</v>
      </c>
      <c r="G33" s="10" t="n">
        <f aca="false">IF(D33=0,0,E33/D33)</f>
        <v>0</v>
      </c>
      <c r="H33" s="9" t="s">
        <v>60</v>
      </c>
    </row>
    <row r="34" customFormat="false" ht="15" hidden="false" customHeight="false" outlineLevel="0" collapsed="false">
      <c r="A34" s="5" t="s">
        <v>61</v>
      </c>
      <c r="B34" s="6" t="n">
        <f aca="false">COUNTIF('Asset List'!$B$5:$B$262,A34)</f>
        <v>11</v>
      </c>
      <c r="C34" s="6" t="n">
        <f aca="false">COUNTIFS('Asset List'!$B$5:$B$262,A34,'Asset List'!$L$5:$L$262,"Must")</f>
        <v>9</v>
      </c>
      <c r="D34" s="6" t="n">
        <f aca="false">SUMIF('Asset List'!$B$5:$B$262,A34,'Asset List'!$O$5:$O$262)</f>
        <v>53</v>
      </c>
      <c r="E34" s="6" t="n">
        <f aca="false">SUMIFS('Asset List'!$O$5:$O$262,'Asset List'!$B$5:$B$262,A34,'Asset List'!$P$5:$P$262,"Final")+SUMIFS('Asset List'!$O$5:$O$262,'Asset List'!$B$5:$B$262,A34,'Asset List'!$P$5:$P$262,"Imported")</f>
        <v>0</v>
      </c>
      <c r="F34" s="6" t="n">
        <f aca="false">D34-E34</f>
        <v>53</v>
      </c>
      <c r="G34" s="7" t="n">
        <f aca="false">IF(D34=0,0,E34/D34)</f>
        <v>0</v>
      </c>
      <c r="H34" s="6" t="s">
        <v>62</v>
      </c>
    </row>
    <row r="35" customFormat="false" ht="15" hidden="false" customHeight="false" outlineLevel="0" collapsed="false">
      <c r="A35" s="8" t="s">
        <v>63</v>
      </c>
      <c r="B35" s="9" t="n">
        <f aca="false">COUNTIF('Asset List'!$B$5:$B$262,A35)</f>
        <v>8</v>
      </c>
      <c r="C35" s="9" t="n">
        <f aca="false">COUNTIFS('Asset List'!$B$5:$B$262,A35,'Asset List'!$L$5:$L$262,"Must")</f>
        <v>7</v>
      </c>
      <c r="D35" s="9" t="n">
        <f aca="false">SUMIF('Asset List'!$B$5:$B$262,A35,'Asset List'!$O$5:$O$262)</f>
        <v>53</v>
      </c>
      <c r="E35" s="9" t="n">
        <f aca="false">SUMIFS('Asset List'!$O$5:$O$262,'Asset List'!$B$5:$B$262,A35,'Asset List'!$P$5:$P$262,"Final")+SUMIFS('Asset List'!$O$5:$O$262,'Asset List'!$B$5:$B$262,A35,'Asset List'!$P$5:$P$262,"Imported")</f>
        <v>0</v>
      </c>
      <c r="F35" s="9" t="n">
        <f aca="false">D35-E35</f>
        <v>53</v>
      </c>
      <c r="G35" s="10" t="n">
        <f aca="false">IF(D35=0,0,E35/D35)</f>
        <v>0</v>
      </c>
      <c r="H35" s="9" t="s">
        <v>64</v>
      </c>
    </row>
    <row r="36" customFormat="false" ht="15" hidden="false" customHeight="false" outlineLevel="0" collapsed="false">
      <c r="A36" s="5" t="s">
        <v>65</v>
      </c>
      <c r="B36" s="6" t="n">
        <f aca="false">COUNTIF('Asset List'!$B$5:$B$262,A36)</f>
        <v>8</v>
      </c>
      <c r="C36" s="6" t="n">
        <f aca="false">COUNTIFS('Asset List'!$B$5:$B$262,A36,'Asset List'!$L$5:$L$262,"Must")</f>
        <v>5</v>
      </c>
      <c r="D36" s="6" t="n">
        <f aca="false">SUMIF('Asset List'!$B$5:$B$262,A36,'Asset List'!$O$5:$O$262)</f>
        <v>40</v>
      </c>
      <c r="E36" s="6" t="n">
        <f aca="false">SUMIFS('Asset List'!$O$5:$O$262,'Asset List'!$B$5:$B$262,A36,'Asset List'!$P$5:$P$262,"Final")+SUMIFS('Asset List'!$O$5:$O$262,'Asset List'!$B$5:$B$262,A36,'Asset List'!$P$5:$P$262,"Imported")</f>
        <v>0</v>
      </c>
      <c r="F36" s="6" t="n">
        <f aca="false">D36-E36</f>
        <v>40</v>
      </c>
      <c r="G36" s="7" t="n">
        <f aca="false">IF(D36=0,0,E36/D36)</f>
        <v>0</v>
      </c>
      <c r="H36" s="6" t="s">
        <v>66</v>
      </c>
    </row>
    <row r="37" customFormat="false" ht="15" hidden="false" customHeight="false" outlineLevel="0" collapsed="false">
      <c r="A37" s="8" t="s">
        <v>67</v>
      </c>
      <c r="B37" s="9" t="n">
        <f aca="false">COUNTIF('Asset List'!$B$5:$B$262,A37)</f>
        <v>14</v>
      </c>
      <c r="C37" s="9" t="n">
        <f aca="false">COUNTIFS('Asset List'!$B$5:$B$262,A37,'Asset List'!$L$5:$L$262,"Must")</f>
        <v>14</v>
      </c>
      <c r="D37" s="9" t="n">
        <f aca="false">SUMIF('Asset List'!$B$5:$B$262,A37,'Asset List'!$O$5:$O$262)</f>
        <v>58</v>
      </c>
      <c r="E37" s="9" t="n">
        <f aca="false">SUMIFS('Asset List'!$O$5:$O$262,'Asset List'!$B$5:$B$262,A37,'Asset List'!$P$5:$P$262,"Final")+SUMIFS('Asset List'!$O$5:$O$262,'Asset List'!$B$5:$B$262,A37,'Asset List'!$P$5:$P$262,"Imported")</f>
        <v>0</v>
      </c>
      <c r="F37" s="9" t="n">
        <f aca="false">D37-E37</f>
        <v>58</v>
      </c>
      <c r="G37" s="10" t="n">
        <f aca="false">IF(D37=0,0,E37/D37)</f>
        <v>0</v>
      </c>
      <c r="H37" s="9" t="s">
        <v>68</v>
      </c>
    </row>
    <row r="38" customFormat="false" ht="15" hidden="false" customHeight="false" outlineLevel="0" collapsed="false">
      <c r="A38" s="5" t="s">
        <v>69</v>
      </c>
      <c r="B38" s="6" t="n">
        <f aca="false">COUNTIF('Asset List'!$B$5:$B$262,A38)</f>
        <v>6</v>
      </c>
      <c r="C38" s="6" t="n">
        <f aca="false">COUNTIFS('Asset List'!$B$5:$B$262,A38,'Asset List'!$L$5:$L$262,"Must")</f>
        <v>6</v>
      </c>
      <c r="D38" s="6" t="n">
        <f aca="false">SUMIF('Asset List'!$B$5:$B$262,A38,'Asset List'!$O$5:$O$262)</f>
        <v>27</v>
      </c>
      <c r="E38" s="6" t="n">
        <f aca="false">SUMIFS('Asset List'!$O$5:$O$262,'Asset List'!$B$5:$B$262,A38,'Asset List'!$P$5:$P$262,"Final")+SUMIFS('Asset List'!$O$5:$O$262,'Asset List'!$B$5:$B$262,A38,'Asset List'!$P$5:$P$262,"Imported")</f>
        <v>0</v>
      </c>
      <c r="F38" s="6" t="n">
        <f aca="false">D38-E38</f>
        <v>27</v>
      </c>
      <c r="G38" s="7" t="n">
        <f aca="false">IF(D38=0,0,E38/D38)</f>
        <v>0</v>
      </c>
      <c r="H38" s="6" t="s">
        <v>70</v>
      </c>
    </row>
    <row r="39" customFormat="false" ht="23.85" hidden="false" customHeight="false" outlineLevel="0" collapsed="false">
      <c r="A39" s="8" t="s">
        <v>71</v>
      </c>
      <c r="B39" s="9" t="n">
        <f aca="false">COUNTIF('Asset List'!$B$5:$B$262,A39)</f>
        <v>19</v>
      </c>
      <c r="C39" s="9" t="n">
        <f aca="false">COUNTIFS('Asset List'!$B$5:$B$262,A39,'Asset List'!$L$5:$L$262,"Must")</f>
        <v>17</v>
      </c>
      <c r="D39" s="9" t="n">
        <f aca="false">SUMIF('Asset List'!$B$5:$B$262,A39,'Asset List'!$O$5:$O$262)</f>
        <v>127</v>
      </c>
      <c r="E39" s="9" t="n">
        <f aca="false">SUMIFS('Asset List'!$O$5:$O$262,'Asset List'!$B$5:$B$262,A39,'Asset List'!$P$5:$P$262,"Final")+SUMIFS('Asset List'!$O$5:$O$262,'Asset List'!$B$5:$B$262,A39,'Asset List'!$P$5:$P$262,"Imported")</f>
        <v>0</v>
      </c>
      <c r="F39" s="9" t="n">
        <f aca="false">D39-E39</f>
        <v>127</v>
      </c>
      <c r="G39" s="10" t="n">
        <f aca="false">IF(D39=0,0,E39/D39)</f>
        <v>0</v>
      </c>
      <c r="H39" s="9" t="s">
        <v>72</v>
      </c>
    </row>
    <row r="40" customFormat="false" ht="15" hidden="false" customHeight="false" outlineLevel="0" collapsed="false">
      <c r="A40" s="5" t="s">
        <v>73</v>
      </c>
      <c r="B40" s="6" t="n">
        <f aca="false">COUNTIF('Asset List'!$B$5:$B$262,A40)</f>
        <v>5</v>
      </c>
      <c r="C40" s="6" t="n">
        <f aca="false">COUNTIFS('Asset List'!$B$5:$B$262,A40,'Asset List'!$L$5:$L$262,"Must")</f>
        <v>3</v>
      </c>
      <c r="D40" s="6" t="n">
        <f aca="false">SUMIF('Asset List'!$B$5:$B$262,A40,'Asset List'!$O$5:$O$262)</f>
        <v>41</v>
      </c>
      <c r="E40" s="6" t="n">
        <f aca="false">SUMIFS('Asset List'!$O$5:$O$262,'Asset List'!$B$5:$B$262,A40,'Asset List'!$P$5:$P$262,"Final")+SUMIFS('Asset List'!$O$5:$O$262,'Asset List'!$B$5:$B$262,A40,'Asset List'!$P$5:$P$262,"Imported")</f>
        <v>0</v>
      </c>
      <c r="F40" s="6" t="n">
        <f aca="false">D40-E40</f>
        <v>41</v>
      </c>
      <c r="G40" s="7" t="n">
        <f aca="false">IF(D40=0,0,E40/D40)</f>
        <v>0</v>
      </c>
      <c r="H40" s="6" t="s">
        <v>74</v>
      </c>
    </row>
    <row r="41" customFormat="false" ht="15" hidden="false" customHeight="false" outlineLevel="0" collapsed="false">
      <c r="A41" s="8" t="s">
        <v>75</v>
      </c>
      <c r="B41" s="9" t="n">
        <f aca="false">COUNTIF('Asset List'!$B$5:$B$262,A41)</f>
        <v>8</v>
      </c>
      <c r="C41" s="9" t="n">
        <f aca="false">COUNTIFS('Asset List'!$B$5:$B$262,A41,'Asset List'!$L$5:$L$262,"Must")</f>
        <v>5</v>
      </c>
      <c r="D41" s="9" t="n">
        <f aca="false">SUMIF('Asset List'!$B$5:$B$262,A41,'Asset List'!$O$5:$O$262)</f>
        <v>107</v>
      </c>
      <c r="E41" s="9" t="n">
        <f aca="false">SUMIFS('Asset List'!$O$5:$O$262,'Asset List'!$B$5:$B$262,A41,'Asset List'!$P$5:$P$262,"Final")+SUMIFS('Asset List'!$O$5:$O$262,'Asset List'!$B$5:$B$262,A41,'Asset List'!$P$5:$P$262,"Imported")</f>
        <v>0</v>
      </c>
      <c r="F41" s="9" t="n">
        <f aca="false">D41-E41</f>
        <v>107</v>
      </c>
      <c r="G41" s="10" t="n">
        <f aca="false">IF(D41=0,0,E41/D41)</f>
        <v>0</v>
      </c>
      <c r="H41" s="9" t="s">
        <v>76</v>
      </c>
    </row>
    <row r="42" customFormat="false" ht="23.85" hidden="false" customHeight="false" outlineLevel="0" collapsed="false">
      <c r="A42" s="5" t="s">
        <v>77</v>
      </c>
      <c r="B42" s="6" t="n">
        <f aca="false">COUNTIF('Asset List'!$B$5:$B$262,A42)</f>
        <v>5</v>
      </c>
      <c r="C42" s="6" t="n">
        <f aca="false">COUNTIFS('Asset List'!$B$5:$B$262,A42,'Asset List'!$L$5:$L$262,"Must")</f>
        <v>4</v>
      </c>
      <c r="D42" s="6" t="n">
        <f aca="false">SUMIF('Asset List'!$B$5:$B$262,A42,'Asset List'!$O$5:$O$262)</f>
        <v>75</v>
      </c>
      <c r="E42" s="6" t="n">
        <f aca="false">SUMIFS('Asset List'!$O$5:$O$262,'Asset List'!$B$5:$B$262,A42,'Asset List'!$P$5:$P$262,"Final")+SUMIFS('Asset List'!$O$5:$O$262,'Asset List'!$B$5:$B$262,A42,'Asset List'!$P$5:$P$262,"Imported")</f>
        <v>0</v>
      </c>
      <c r="F42" s="6" t="n">
        <f aca="false">D42-E42</f>
        <v>75</v>
      </c>
      <c r="G42" s="7" t="n">
        <f aca="false">IF(D42=0,0,E42/D42)</f>
        <v>0</v>
      </c>
      <c r="H42" s="6" t="s">
        <v>78</v>
      </c>
    </row>
    <row r="43" customFormat="false" ht="15" hidden="false" customHeight="false" outlineLevel="0" collapsed="false">
      <c r="A43" s="8" t="s">
        <v>79</v>
      </c>
      <c r="B43" s="9" t="n">
        <f aca="false">COUNTIF('Asset List'!$B$5:$B$262,A43)</f>
        <v>4</v>
      </c>
      <c r="C43" s="9" t="n">
        <f aca="false">COUNTIFS('Asset List'!$B$5:$B$262,A43,'Asset List'!$L$5:$L$262,"Must")</f>
        <v>4</v>
      </c>
      <c r="D43" s="9" t="n">
        <f aca="false">SUMIF('Asset List'!$B$5:$B$262,A43,'Asset List'!$O$5:$O$262)</f>
        <v>24</v>
      </c>
      <c r="E43" s="9" t="n">
        <f aca="false">SUMIFS('Asset List'!$O$5:$O$262,'Asset List'!$B$5:$B$262,A43,'Asset List'!$P$5:$P$262,"Final")+SUMIFS('Asset List'!$O$5:$O$262,'Asset List'!$B$5:$B$262,A43,'Asset List'!$P$5:$P$262,"Imported")</f>
        <v>0</v>
      </c>
      <c r="F43" s="9" t="n">
        <f aca="false">D43-E43</f>
        <v>24</v>
      </c>
      <c r="G43" s="10" t="n">
        <f aca="false">IF(D43=0,0,E43/D43)</f>
        <v>0</v>
      </c>
      <c r="H43" s="9" t="s">
        <v>80</v>
      </c>
    </row>
    <row r="44" customFormat="false" ht="15" hidden="false" customHeight="false" outlineLevel="0" collapsed="false">
      <c r="A44" s="5" t="s">
        <v>81</v>
      </c>
      <c r="B44" s="6" t="n">
        <f aca="false">COUNTIF('Asset List'!$B$5:$B$262,A44)</f>
        <v>4</v>
      </c>
      <c r="C44" s="6" t="n">
        <f aca="false">COUNTIFS('Asset List'!$B$5:$B$262,A44,'Asset List'!$L$5:$L$262,"Must")</f>
        <v>3</v>
      </c>
      <c r="D44" s="6" t="n">
        <f aca="false">SUMIF('Asset List'!$B$5:$B$262,A44,'Asset List'!$O$5:$O$262)</f>
        <v>40</v>
      </c>
      <c r="E44" s="6" t="n">
        <f aca="false">SUMIFS('Asset List'!$O$5:$O$262,'Asset List'!$B$5:$B$262,A44,'Asset List'!$P$5:$P$262,"Final")+SUMIFS('Asset List'!$O$5:$O$262,'Asset List'!$B$5:$B$262,A44,'Asset List'!$P$5:$P$262,"Imported")</f>
        <v>0</v>
      </c>
      <c r="F44" s="6" t="n">
        <f aca="false">D44-E44</f>
        <v>40</v>
      </c>
      <c r="G44" s="7" t="n">
        <f aca="false">IF(D44=0,0,E44/D44)</f>
        <v>0</v>
      </c>
      <c r="H44" s="6" t="s">
        <v>82</v>
      </c>
    </row>
    <row r="45" customFormat="false" ht="15" hidden="false" customHeight="false" outlineLevel="0" collapsed="false">
      <c r="A45" s="8" t="s">
        <v>83</v>
      </c>
      <c r="B45" s="9" t="n">
        <f aca="false">COUNTIF('Asset List'!$B$5:$B$262,A45)</f>
        <v>9</v>
      </c>
      <c r="C45" s="9" t="n">
        <f aca="false">COUNTIFS('Asset List'!$B$5:$B$262,A45,'Asset List'!$L$5:$L$262,"Must")</f>
        <v>9</v>
      </c>
      <c r="D45" s="9" t="n">
        <f aca="false">SUMIF('Asset List'!$B$5:$B$262,A45,'Asset List'!$O$5:$O$262)</f>
        <v>23</v>
      </c>
      <c r="E45" s="9" t="n">
        <f aca="false">SUMIFS('Asset List'!$O$5:$O$262,'Asset List'!$B$5:$B$262,A45,'Asset List'!$P$5:$P$262,"Final")+SUMIFS('Asset List'!$O$5:$O$262,'Asset List'!$B$5:$B$262,A45,'Asset List'!$P$5:$P$262,"Imported")</f>
        <v>0</v>
      </c>
      <c r="F45" s="9" t="n">
        <f aca="false">D45-E45</f>
        <v>23</v>
      </c>
      <c r="G45" s="10" t="n">
        <f aca="false">IF(D45=0,0,E45/D45)</f>
        <v>0</v>
      </c>
      <c r="H45" s="9" t="s">
        <v>84</v>
      </c>
    </row>
    <row r="46" customFormat="false" ht="15" hidden="false" customHeight="false" outlineLevel="0" collapsed="false">
      <c r="A46" s="5" t="s">
        <v>85</v>
      </c>
      <c r="B46" s="6" t="n">
        <f aca="false">COUNTIF('Asset List'!$B$5:$B$262,A46)</f>
        <v>11</v>
      </c>
      <c r="C46" s="6" t="n">
        <f aca="false">COUNTIFS('Asset List'!$B$5:$B$262,A46,'Asset List'!$L$5:$L$262,"Must")</f>
        <v>11</v>
      </c>
      <c r="D46" s="6" t="n">
        <f aca="false">SUMIF('Asset List'!$B$5:$B$262,A46,'Asset List'!$O$5:$O$262)</f>
        <v>27</v>
      </c>
      <c r="E46" s="6" t="n">
        <f aca="false">SUMIFS('Asset List'!$O$5:$O$262,'Asset List'!$B$5:$B$262,A46,'Asset List'!$P$5:$P$262,"Final")+SUMIFS('Asset List'!$O$5:$O$262,'Asset List'!$B$5:$B$262,A46,'Asset List'!$P$5:$P$262,"Imported")</f>
        <v>0</v>
      </c>
      <c r="F46" s="6" t="n">
        <f aca="false">D46-E46</f>
        <v>27</v>
      </c>
      <c r="G46" s="7" t="n">
        <f aca="false">IF(D46=0,0,E46/D46)</f>
        <v>0</v>
      </c>
      <c r="H46" s="6" t="s">
        <v>86</v>
      </c>
    </row>
    <row r="47" customFormat="false" ht="15" hidden="false" customHeight="false" outlineLevel="0" collapsed="false">
      <c r="A47" s="8" t="s">
        <v>87</v>
      </c>
      <c r="B47" s="9" t="n">
        <f aca="false">COUNTIF('Asset List'!$B$5:$B$262,A47)</f>
        <v>6</v>
      </c>
      <c r="C47" s="9" t="n">
        <f aca="false">COUNTIFS('Asset List'!$B$5:$B$262,A47,'Asset List'!$L$5:$L$262,"Must")</f>
        <v>4</v>
      </c>
      <c r="D47" s="9" t="n">
        <f aca="false">SUMIF('Asset List'!$B$5:$B$262,A47,'Asset List'!$O$5:$O$262)</f>
        <v>26</v>
      </c>
      <c r="E47" s="9" t="n">
        <f aca="false">SUMIFS('Asset List'!$O$5:$O$262,'Asset List'!$B$5:$B$262,A47,'Asset List'!$P$5:$P$262,"Final")+SUMIFS('Asset List'!$O$5:$O$262,'Asset List'!$B$5:$B$262,A47,'Asset List'!$P$5:$P$262,"Imported")</f>
        <v>0</v>
      </c>
      <c r="F47" s="9" t="n">
        <f aca="false">D47-E47</f>
        <v>26</v>
      </c>
      <c r="G47" s="10" t="n">
        <f aca="false">IF(D47=0,0,E47/D47)</f>
        <v>0</v>
      </c>
      <c r="H47" s="9" t="s">
        <v>88</v>
      </c>
    </row>
    <row r="48" customFormat="false" ht="23.85" hidden="false" customHeight="false" outlineLevel="0" collapsed="false">
      <c r="A48" s="5" t="s">
        <v>89</v>
      </c>
      <c r="B48" s="6" t="n">
        <f aca="false">COUNTIF('Asset List'!$B$5:$B$262,A48)</f>
        <v>25</v>
      </c>
      <c r="C48" s="6" t="n">
        <f aca="false">COUNTIFS('Asset List'!$B$5:$B$262,A48,'Asset List'!$L$5:$L$262,"Must")</f>
        <v>21</v>
      </c>
      <c r="D48" s="6" t="n">
        <f aca="false">SUMIF('Asset List'!$B$5:$B$262,A48,'Asset List'!$O$5:$O$262)</f>
        <v>103</v>
      </c>
      <c r="E48" s="6" t="n">
        <f aca="false">SUMIFS('Asset List'!$O$5:$O$262,'Asset List'!$B$5:$B$262,A48,'Asset List'!$P$5:$P$262,"Final")+SUMIFS('Asset List'!$O$5:$O$262,'Asset List'!$B$5:$B$262,A48,'Asset List'!$P$5:$P$262,"Imported")</f>
        <v>0</v>
      </c>
      <c r="F48" s="6" t="n">
        <f aca="false">D48-E48</f>
        <v>103</v>
      </c>
      <c r="G48" s="7" t="n">
        <f aca="false">IF(D48=0,0,E48/D48)</f>
        <v>0</v>
      </c>
      <c r="H48" s="6" t="s">
        <v>90</v>
      </c>
    </row>
    <row r="49" customFormat="false" ht="15" hidden="false" customHeight="false" outlineLevel="0" collapsed="false">
      <c r="A49" s="8" t="s">
        <v>91</v>
      </c>
      <c r="B49" s="9" t="n">
        <f aca="false">COUNTIF('Asset List'!$B$5:$B$262,A49)</f>
        <v>6</v>
      </c>
      <c r="C49" s="9" t="n">
        <f aca="false">COUNTIFS('Asset List'!$B$5:$B$262,A49,'Asset List'!$L$5:$L$262,"Must")</f>
        <v>6</v>
      </c>
      <c r="D49" s="9" t="n">
        <f aca="false">SUMIF('Asset List'!$B$5:$B$262,A49,'Asset List'!$O$5:$O$262)</f>
        <v>59</v>
      </c>
      <c r="E49" s="9" t="n">
        <f aca="false">SUMIFS('Asset List'!$O$5:$O$262,'Asset List'!$B$5:$B$262,A49,'Asset List'!$P$5:$P$262,"Final")+SUMIFS('Asset List'!$O$5:$O$262,'Asset List'!$B$5:$B$262,A49,'Asset List'!$P$5:$P$262,"Imported")</f>
        <v>0</v>
      </c>
      <c r="F49" s="9" t="n">
        <f aca="false">D49-E49</f>
        <v>59</v>
      </c>
      <c r="G49" s="10" t="n">
        <f aca="false">IF(D49=0,0,E49/D49)</f>
        <v>0</v>
      </c>
      <c r="H49" s="9" t="s">
        <v>92</v>
      </c>
    </row>
    <row r="50" customFormat="false" ht="15" hidden="false" customHeight="false" outlineLevel="0" collapsed="false">
      <c r="A50" s="5" t="s">
        <v>93</v>
      </c>
      <c r="B50" s="6" t="n">
        <f aca="false">COUNTIF('Asset List'!$B$5:$B$262,A50)</f>
        <v>8</v>
      </c>
      <c r="C50" s="6" t="n">
        <f aca="false">COUNTIFS('Asset List'!$B$5:$B$262,A50,'Asset List'!$L$5:$L$262,"Must")</f>
        <v>6</v>
      </c>
      <c r="D50" s="6" t="n">
        <f aca="false">SUMIF('Asset List'!$B$5:$B$262,A50,'Asset List'!$O$5:$O$262)</f>
        <v>50</v>
      </c>
      <c r="E50" s="6" t="n">
        <f aca="false">SUMIFS('Asset List'!$O$5:$O$262,'Asset List'!$B$5:$B$262,A50,'Asset List'!$P$5:$P$262,"Final")+SUMIFS('Asset List'!$O$5:$O$262,'Asset List'!$B$5:$B$262,A50,'Asset List'!$P$5:$P$262,"Imported")</f>
        <v>0</v>
      </c>
      <c r="F50" s="6" t="n">
        <f aca="false">D50-E50</f>
        <v>50</v>
      </c>
      <c r="G50" s="7" t="n">
        <f aca="false">IF(D50=0,0,E50/D50)</f>
        <v>0</v>
      </c>
      <c r="H50" s="6" t="s">
        <v>94</v>
      </c>
    </row>
    <row r="51" customFormat="false" ht="15" hidden="false" customHeight="false" outlineLevel="0" collapsed="false">
      <c r="A51" s="8" t="s">
        <v>95</v>
      </c>
      <c r="B51" s="9" t="n">
        <f aca="false">COUNTIF('Asset List'!$B$5:$B$262,A51)</f>
        <v>3</v>
      </c>
      <c r="C51" s="9" t="n">
        <f aca="false">COUNTIFS('Asset List'!$B$5:$B$262,A51,'Asset List'!$L$5:$L$262,"Must")</f>
        <v>3</v>
      </c>
      <c r="D51" s="9" t="n">
        <f aca="false">SUMIF('Asset List'!$B$5:$B$262,A51,'Asset List'!$O$5:$O$262)</f>
        <v>6</v>
      </c>
      <c r="E51" s="9" t="n">
        <f aca="false">SUMIFS('Asset List'!$O$5:$O$262,'Asset List'!$B$5:$B$262,A51,'Asset List'!$P$5:$P$262,"Final")+SUMIFS('Asset List'!$O$5:$O$262,'Asset List'!$B$5:$B$262,A51,'Asset List'!$P$5:$P$262,"Imported")</f>
        <v>0</v>
      </c>
      <c r="F51" s="9" t="n">
        <f aca="false">D51-E51</f>
        <v>6</v>
      </c>
      <c r="G51" s="10" t="n">
        <f aca="false">IF(D51=0,0,E51/D51)</f>
        <v>0</v>
      </c>
      <c r="H51" s="9" t="s">
        <v>96</v>
      </c>
    </row>
    <row r="52" customFormat="false" ht="15" hidden="false" customHeight="false" outlineLevel="0" collapsed="false">
      <c r="A52" s="5" t="s">
        <v>97</v>
      </c>
      <c r="B52" s="6" t="n">
        <f aca="false">COUNTIF('Asset List'!$B$5:$B$262,A52)</f>
        <v>16</v>
      </c>
      <c r="C52" s="6" t="n">
        <f aca="false">COUNTIFS('Asset List'!$B$5:$B$262,A52,'Asset List'!$L$5:$L$262,"Must")</f>
        <v>12</v>
      </c>
      <c r="D52" s="6" t="n">
        <f aca="false">SUMIF('Asset List'!$B$5:$B$262,A52,'Asset List'!$O$5:$O$262)</f>
        <v>33</v>
      </c>
      <c r="E52" s="6" t="n">
        <f aca="false">SUMIFS('Asset List'!$O$5:$O$262,'Asset List'!$B$5:$B$262,A52,'Asset List'!$P$5:$P$262,"Final")+SUMIFS('Asset List'!$O$5:$O$262,'Asset List'!$B$5:$B$262,A52,'Asset List'!$P$5:$P$262,"Imported")</f>
        <v>0</v>
      </c>
      <c r="F52" s="6" t="n">
        <f aca="false">D52-E52</f>
        <v>33</v>
      </c>
      <c r="G52" s="7" t="n">
        <f aca="false">IF(D52=0,0,E52/D52)</f>
        <v>0</v>
      </c>
      <c r="H52" s="6" t="s">
        <v>98</v>
      </c>
    </row>
    <row r="54" customFormat="false" ht="18" hidden="false" customHeight="true" outlineLevel="0" collapsed="false">
      <c r="A54" s="3" t="s">
        <v>99</v>
      </c>
      <c r="B54" s="3"/>
      <c r="C54" s="3"/>
      <c r="D54" s="3"/>
      <c r="E54" s="3"/>
      <c r="F54" s="3"/>
      <c r="G54" s="3"/>
      <c r="H54" s="3"/>
    </row>
    <row r="55" customFormat="false" ht="30" hidden="false" customHeight="true" outlineLevel="0" collapsed="false">
      <c r="A55" s="4" t="s">
        <v>100</v>
      </c>
      <c r="B55" s="4" t="s">
        <v>4</v>
      </c>
      <c r="C55" s="4" t="s">
        <v>6</v>
      </c>
    </row>
    <row r="56" customFormat="false" ht="15" hidden="false" customHeight="false" outlineLevel="0" collapsed="false">
      <c r="A56" s="5" t="s">
        <v>101</v>
      </c>
      <c r="B56" s="19" t="n">
        <f aca="false">COUNTIF('Asset List'!$P$5:$P$262,A56)</f>
        <v>258</v>
      </c>
      <c r="C56" s="6" t="n">
        <f aca="false">SUMIF('Asset List'!$P$5:$P$262,A56,'Asset List'!$O$5:$O$262)</f>
        <v>1327</v>
      </c>
    </row>
    <row r="57" customFormat="false" ht="15" hidden="false" customHeight="false" outlineLevel="0" collapsed="false">
      <c r="A57" s="8" t="s">
        <v>102</v>
      </c>
      <c r="B57" s="20" t="n">
        <f aca="false">COUNTIF('Asset List'!$P$5:$P$262,A57)</f>
        <v>0</v>
      </c>
      <c r="C57" s="9" t="n">
        <f aca="false">SUMIF('Asset List'!$P$5:$P$262,A57,'Asset List'!$O$5:$O$262)</f>
        <v>0</v>
      </c>
    </row>
    <row r="58" customFormat="false" ht="15" hidden="false" customHeight="false" outlineLevel="0" collapsed="false">
      <c r="A58" s="5" t="s">
        <v>103</v>
      </c>
      <c r="B58" s="19" t="n">
        <f aca="false">COUNTIF('Asset List'!$P$5:$P$262,A58)</f>
        <v>0</v>
      </c>
      <c r="C58" s="6" t="n">
        <f aca="false">SUMIF('Asset List'!$P$5:$P$262,A58,'Asset List'!$O$5:$O$262)</f>
        <v>0</v>
      </c>
    </row>
    <row r="59" customFormat="false" ht="15" hidden="false" customHeight="false" outlineLevel="0" collapsed="false">
      <c r="A59" s="8" t="s">
        <v>104</v>
      </c>
      <c r="B59" s="20" t="n">
        <f aca="false">COUNTIF('Asset List'!$P$5:$P$262,A59)</f>
        <v>0</v>
      </c>
      <c r="C59" s="9" t="n">
        <f aca="false">SUMIF('Asset List'!$P$5:$P$262,A59,'Asset List'!$O$5:$O$262)</f>
        <v>0</v>
      </c>
    </row>
    <row r="60" customFormat="false" ht="15" hidden="false" customHeight="false" outlineLevel="0" collapsed="false">
      <c r="A60" s="5" t="s">
        <v>105</v>
      </c>
      <c r="B60" s="19" t="n">
        <f aca="false">COUNTIF('Asset List'!$P$5:$P$262,A60)</f>
        <v>0</v>
      </c>
      <c r="C60" s="6" t="n">
        <f aca="false">SUMIF('Asset List'!$P$5:$P$262,A60,'Asset List'!$O$5:$O$262)</f>
        <v>0</v>
      </c>
    </row>
    <row r="61" customFormat="false" ht="15" hidden="false" customHeight="false" outlineLevel="0" collapsed="false">
      <c r="A61" s="8" t="s">
        <v>106</v>
      </c>
      <c r="B61" s="20" t="n">
        <f aca="false">COUNTIF('Asset List'!$P$5:$P$262,A61)</f>
        <v>0</v>
      </c>
      <c r="C61" s="9" t="n">
        <f aca="false">SUMIF('Asset List'!$P$5:$P$262,A61,'Asset List'!$O$5:$O$262)</f>
        <v>0</v>
      </c>
    </row>
    <row r="62" customFormat="false" ht="15" hidden="false" customHeight="false" outlineLevel="0" collapsed="false">
      <c r="A62" s="5" t="s">
        <v>107</v>
      </c>
      <c r="B62" s="19" t="n">
        <f aca="false">COUNTIF('Asset List'!$P$5:$P$262,A62)</f>
        <v>0</v>
      </c>
      <c r="C62" s="6" t="n">
        <f aca="false">SUMIF('Asset List'!$P$5:$P$262,A62,'Asset List'!$O$5:$O$262)</f>
        <v>0</v>
      </c>
    </row>
  </sheetData>
  <mergeCells count="14">
    <mergeCell ref="A1:H1"/>
    <mergeCell ref="A2:H2"/>
    <mergeCell ref="A4:H4"/>
    <mergeCell ref="A14:H14"/>
    <mergeCell ref="C15:H15"/>
    <mergeCell ref="C16:H16"/>
    <mergeCell ref="C17:H17"/>
    <mergeCell ref="C18:H18"/>
    <mergeCell ref="C19:H19"/>
    <mergeCell ref="C20:H20"/>
    <mergeCell ref="C21:H21"/>
    <mergeCell ref="C22:H22"/>
    <mergeCell ref="A24:H24"/>
    <mergeCell ref="A54:H54"/>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Art Asset List</oddHeader>
    <oddFooter>&amp;LYellow cells with blue text are yours to fill in. Black text is a formula or fixed spec.&amp;RPage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20"/>
    <col collapsed="false" customWidth="true" hidden="false" outlineLevel="0" max="4" min="4" style="0" width="12"/>
    <col collapsed="false" customWidth="true" hidden="false" outlineLevel="0" max="5" min="5" style="0" width="10"/>
    <col collapsed="false" customWidth="true" hidden="false" outlineLevel="0" max="6" min="6" style="0" width="50"/>
  </cols>
  <sheetData>
    <row r="1" customFormat="false" ht="31.5" hidden="false" customHeight="true" outlineLevel="0" collapsed="false">
      <c r="A1" s="1" t="s">
        <v>0</v>
      </c>
      <c r="B1" s="1"/>
      <c r="C1" s="1"/>
      <c r="D1" s="1"/>
      <c r="E1" s="1"/>
      <c r="F1" s="1"/>
    </row>
    <row r="2" customFormat="false" ht="19.5" hidden="false" customHeight="true" outlineLevel="0" collapsed="false">
      <c r="A2" s="2" t="s">
        <v>108</v>
      </c>
      <c r="B2" s="2"/>
      <c r="C2" s="2"/>
      <c r="D2" s="2"/>
      <c r="E2" s="2"/>
      <c r="F2" s="2"/>
    </row>
    <row r="4" customFormat="false" ht="30" hidden="false" customHeight="true" outlineLevel="0" collapsed="false">
      <c r="A4" s="4" t="s">
        <v>109</v>
      </c>
      <c r="B4" s="4" t="s">
        <v>110</v>
      </c>
      <c r="C4" s="4" t="s">
        <v>111</v>
      </c>
      <c r="D4" s="4" t="s">
        <v>112</v>
      </c>
      <c r="E4" s="4" t="s">
        <v>6</v>
      </c>
      <c r="F4" s="4" t="s">
        <v>113</v>
      </c>
    </row>
    <row r="5" customFormat="false" ht="15" hidden="false" customHeight="false" outlineLevel="0" collapsed="false">
      <c r="A5" s="19" t="s">
        <v>114</v>
      </c>
      <c r="B5" s="5" t="s">
        <v>115</v>
      </c>
      <c r="C5" s="21" t="s">
        <v>116</v>
      </c>
      <c r="D5" s="19" t="s">
        <v>5</v>
      </c>
      <c r="E5" s="19" t="n">
        <v>10</v>
      </c>
      <c r="F5" s="21" t="s">
        <v>117</v>
      </c>
    </row>
    <row r="6" customFormat="false" ht="15" hidden="false" customHeight="false" outlineLevel="0" collapsed="false">
      <c r="A6" s="20" t="s">
        <v>118</v>
      </c>
      <c r="B6" s="8" t="s">
        <v>119</v>
      </c>
      <c r="C6" s="22" t="s">
        <v>116</v>
      </c>
      <c r="D6" s="20" t="s">
        <v>5</v>
      </c>
      <c r="E6" s="20" t="n">
        <v>10</v>
      </c>
      <c r="F6" s="22" t="s">
        <v>117</v>
      </c>
    </row>
    <row r="7" customFormat="false" ht="15" hidden="false" customHeight="false" outlineLevel="0" collapsed="false">
      <c r="A7" s="19" t="s">
        <v>120</v>
      </c>
      <c r="B7" s="5" t="s">
        <v>121</v>
      </c>
      <c r="C7" s="21" t="s">
        <v>116</v>
      </c>
      <c r="D7" s="19" t="s">
        <v>5</v>
      </c>
      <c r="E7" s="19" t="n">
        <v>6</v>
      </c>
      <c r="F7" s="21" t="s">
        <v>117</v>
      </c>
    </row>
    <row r="8" customFormat="false" ht="15" hidden="false" customHeight="false" outlineLevel="0" collapsed="false">
      <c r="A8" s="20" t="s">
        <v>122</v>
      </c>
      <c r="B8" s="8" t="s">
        <v>123</v>
      </c>
      <c r="C8" s="22" t="s">
        <v>124</v>
      </c>
      <c r="D8" s="20" t="s">
        <v>5</v>
      </c>
      <c r="E8" s="20" t="n">
        <v>2</v>
      </c>
      <c r="F8" s="22" t="s">
        <v>117</v>
      </c>
    </row>
    <row r="9" customFormat="false" ht="15" hidden="false" customHeight="false" outlineLevel="0" collapsed="false">
      <c r="A9" s="19" t="s">
        <v>125</v>
      </c>
      <c r="B9" s="5" t="s">
        <v>126</v>
      </c>
      <c r="C9" s="21" t="s">
        <v>116</v>
      </c>
      <c r="D9" s="19" t="s">
        <v>5</v>
      </c>
      <c r="E9" s="19" t="n">
        <v>4</v>
      </c>
      <c r="F9" s="21" t="s">
        <v>117</v>
      </c>
    </row>
    <row r="10" customFormat="false" ht="15" hidden="false" customHeight="false" outlineLevel="0" collapsed="false">
      <c r="A10" s="20" t="s">
        <v>127</v>
      </c>
      <c r="B10" s="8" t="s">
        <v>128</v>
      </c>
      <c r="C10" s="22" t="s">
        <v>116</v>
      </c>
      <c r="D10" s="20" t="s">
        <v>129</v>
      </c>
      <c r="E10" s="20" t="n">
        <v>1</v>
      </c>
      <c r="F10" s="22" t="s">
        <v>117</v>
      </c>
    </row>
    <row r="11" customFormat="false" ht="15" hidden="false" customHeight="false" outlineLevel="0" collapsed="false">
      <c r="A11" s="19" t="s">
        <v>130</v>
      </c>
      <c r="B11" s="5" t="s">
        <v>131</v>
      </c>
      <c r="C11" s="21" t="s">
        <v>116</v>
      </c>
      <c r="D11" s="19" t="s">
        <v>5</v>
      </c>
      <c r="E11" s="19" t="n">
        <v>5</v>
      </c>
      <c r="F11" s="21" t="s">
        <v>132</v>
      </c>
    </row>
    <row r="12" customFormat="false" ht="15" hidden="false" customHeight="false" outlineLevel="0" collapsed="false">
      <c r="A12" s="20" t="s">
        <v>133</v>
      </c>
      <c r="B12" s="8" t="s">
        <v>134</v>
      </c>
      <c r="C12" s="22" t="s">
        <v>116</v>
      </c>
      <c r="D12" s="20" t="s">
        <v>5</v>
      </c>
      <c r="E12" s="20" t="n">
        <v>4</v>
      </c>
      <c r="F12" s="22" t="s">
        <v>132</v>
      </c>
    </row>
    <row r="13" customFormat="false" ht="15" hidden="false" customHeight="false" outlineLevel="0" collapsed="false">
      <c r="A13" s="19" t="s">
        <v>135</v>
      </c>
      <c r="B13" s="5" t="s">
        <v>136</v>
      </c>
      <c r="C13" s="21" t="s">
        <v>116</v>
      </c>
      <c r="D13" s="19" t="s">
        <v>5</v>
      </c>
      <c r="E13" s="19" t="n">
        <v>5</v>
      </c>
      <c r="F13" s="21" t="s">
        <v>132</v>
      </c>
    </row>
    <row r="14" customFormat="false" ht="15" hidden="false" customHeight="false" outlineLevel="0" collapsed="false">
      <c r="A14" s="20" t="s">
        <v>137</v>
      </c>
      <c r="B14" s="8" t="s">
        <v>138</v>
      </c>
      <c r="C14" s="22" t="s">
        <v>116</v>
      </c>
      <c r="D14" s="20" t="s">
        <v>5</v>
      </c>
      <c r="E14" s="20" t="n">
        <v>5</v>
      </c>
      <c r="F14" s="22" t="s">
        <v>132</v>
      </c>
    </row>
    <row r="15" customFormat="false" ht="15" hidden="false" customHeight="false" outlineLevel="0" collapsed="false">
      <c r="A15" s="19" t="s">
        <v>139</v>
      </c>
      <c r="B15" s="5" t="s">
        <v>140</v>
      </c>
      <c r="C15" s="21" t="s">
        <v>116</v>
      </c>
      <c r="D15" s="19" t="s">
        <v>5</v>
      </c>
      <c r="E15" s="19" t="n">
        <v>4</v>
      </c>
      <c r="F15" s="21" t="s">
        <v>132</v>
      </c>
    </row>
    <row r="16" customFormat="false" ht="15" hidden="false" customHeight="false" outlineLevel="0" collapsed="false">
      <c r="A16" s="20" t="s">
        <v>141</v>
      </c>
      <c r="B16" s="8" t="s">
        <v>142</v>
      </c>
      <c r="C16" s="22" t="s">
        <v>116</v>
      </c>
      <c r="D16" s="20" t="s">
        <v>5</v>
      </c>
      <c r="E16" s="20" t="n">
        <v>7</v>
      </c>
      <c r="F16" s="22" t="s">
        <v>132</v>
      </c>
    </row>
    <row r="17" customFormat="false" ht="15" hidden="false" customHeight="false" outlineLevel="0" collapsed="false">
      <c r="A17" s="19" t="s">
        <v>143</v>
      </c>
      <c r="B17" s="5" t="s">
        <v>144</v>
      </c>
      <c r="C17" s="21" t="s">
        <v>145</v>
      </c>
      <c r="D17" s="19" t="s">
        <v>5</v>
      </c>
      <c r="E17" s="19" t="n">
        <v>1</v>
      </c>
      <c r="F17" s="21" t="s">
        <v>132</v>
      </c>
    </row>
    <row r="18" customFormat="false" ht="15" hidden="false" customHeight="false" outlineLevel="0" collapsed="false">
      <c r="A18" s="20" t="s">
        <v>146</v>
      </c>
      <c r="B18" s="8" t="s">
        <v>147</v>
      </c>
      <c r="C18" s="22" t="s">
        <v>116</v>
      </c>
      <c r="D18" s="20" t="s">
        <v>5</v>
      </c>
      <c r="E18" s="20" t="n">
        <v>2</v>
      </c>
      <c r="F18" s="22" t="s">
        <v>132</v>
      </c>
    </row>
    <row r="19" customFormat="false" ht="23.85" hidden="false" customHeight="false" outlineLevel="0" collapsed="false">
      <c r="A19" s="19" t="s">
        <v>148</v>
      </c>
      <c r="B19" s="5" t="s">
        <v>149</v>
      </c>
      <c r="C19" s="21" t="s">
        <v>150</v>
      </c>
      <c r="D19" s="19" t="s">
        <v>5</v>
      </c>
      <c r="E19" s="19" t="n">
        <v>4</v>
      </c>
      <c r="F19" s="21" t="s">
        <v>151</v>
      </c>
    </row>
    <row r="20" customFormat="false" ht="23.85" hidden="false" customHeight="false" outlineLevel="0" collapsed="false">
      <c r="A20" s="20" t="s">
        <v>152</v>
      </c>
      <c r="B20" s="8" t="s">
        <v>153</v>
      </c>
      <c r="C20" s="22" t="s">
        <v>154</v>
      </c>
      <c r="D20" s="20" t="s">
        <v>5</v>
      </c>
      <c r="E20" s="20" t="n">
        <v>4</v>
      </c>
      <c r="F20" s="22" t="s">
        <v>151</v>
      </c>
    </row>
    <row r="21" customFormat="false" ht="23.85" hidden="false" customHeight="false" outlineLevel="0" collapsed="false">
      <c r="A21" s="19" t="s">
        <v>155</v>
      </c>
      <c r="B21" s="5" t="s">
        <v>156</v>
      </c>
      <c r="C21" s="21" t="s">
        <v>116</v>
      </c>
      <c r="D21" s="19" t="s">
        <v>5</v>
      </c>
      <c r="E21" s="19" t="n">
        <v>4</v>
      </c>
      <c r="F21" s="21" t="s">
        <v>151</v>
      </c>
    </row>
    <row r="22" customFormat="false" ht="23.85" hidden="false" customHeight="false" outlineLevel="0" collapsed="false">
      <c r="A22" s="20" t="s">
        <v>157</v>
      </c>
      <c r="B22" s="8" t="s">
        <v>158</v>
      </c>
      <c r="C22" s="22" t="s">
        <v>159</v>
      </c>
      <c r="D22" s="20" t="s">
        <v>5</v>
      </c>
      <c r="E22" s="20" t="n">
        <v>1</v>
      </c>
      <c r="F22" s="22" t="s">
        <v>151</v>
      </c>
    </row>
    <row r="23" customFormat="false" ht="15" hidden="false" customHeight="false" outlineLevel="0" collapsed="false">
      <c r="A23" s="19" t="s">
        <v>160</v>
      </c>
      <c r="B23" s="5" t="s">
        <v>161</v>
      </c>
      <c r="C23" s="21" t="s">
        <v>162</v>
      </c>
      <c r="D23" s="19" t="s">
        <v>5</v>
      </c>
      <c r="E23" s="19" t="n">
        <v>3</v>
      </c>
      <c r="F23" s="21" t="s">
        <v>163</v>
      </c>
    </row>
    <row r="24" customFormat="false" ht="15" hidden="false" customHeight="false" outlineLevel="0" collapsed="false">
      <c r="A24" s="20" t="s">
        <v>164</v>
      </c>
      <c r="B24" s="8" t="s">
        <v>165</v>
      </c>
      <c r="C24" s="22" t="s">
        <v>162</v>
      </c>
      <c r="D24" s="20" t="s">
        <v>5</v>
      </c>
      <c r="E24" s="20" t="n">
        <v>3</v>
      </c>
      <c r="F24" s="22" t="s">
        <v>163</v>
      </c>
    </row>
    <row r="25" customFormat="false" ht="15" hidden="false" customHeight="false" outlineLevel="0" collapsed="false">
      <c r="A25" s="19" t="s">
        <v>166</v>
      </c>
      <c r="B25" s="5" t="s">
        <v>167</v>
      </c>
      <c r="C25" s="21" t="s">
        <v>168</v>
      </c>
      <c r="D25" s="19" t="s">
        <v>5</v>
      </c>
      <c r="E25" s="19" t="n">
        <v>12</v>
      </c>
      <c r="F25" s="21" t="s">
        <v>163</v>
      </c>
    </row>
    <row r="26" customFormat="false" ht="15" hidden="false" customHeight="false" outlineLevel="0" collapsed="false">
      <c r="A26" s="20" t="s">
        <v>169</v>
      </c>
      <c r="B26" s="8" t="s">
        <v>170</v>
      </c>
      <c r="C26" s="22" t="s">
        <v>171</v>
      </c>
      <c r="D26" s="20" t="s">
        <v>5</v>
      </c>
      <c r="E26" s="20" t="n">
        <v>3</v>
      </c>
      <c r="F26" s="22" t="s">
        <v>163</v>
      </c>
    </row>
    <row r="27" customFormat="false" ht="15" hidden="false" customHeight="false" outlineLevel="0" collapsed="false">
      <c r="A27" s="19" t="s">
        <v>172</v>
      </c>
      <c r="B27" s="5" t="s">
        <v>173</v>
      </c>
      <c r="C27" s="21" t="s">
        <v>174</v>
      </c>
      <c r="D27" s="19" t="s">
        <v>5</v>
      </c>
      <c r="E27" s="19" t="n">
        <v>12</v>
      </c>
      <c r="F27" s="21" t="s">
        <v>175</v>
      </c>
    </row>
    <row r="28" customFormat="false" ht="15" hidden="false" customHeight="false" outlineLevel="0" collapsed="false">
      <c r="A28" s="20" t="s">
        <v>176</v>
      </c>
      <c r="B28" s="8" t="s">
        <v>177</v>
      </c>
      <c r="C28" s="22" t="s">
        <v>178</v>
      </c>
      <c r="D28" s="20" t="s">
        <v>5</v>
      </c>
      <c r="E28" s="20" t="n">
        <v>2</v>
      </c>
      <c r="F28" s="22" t="s">
        <v>175</v>
      </c>
    </row>
    <row r="29" customFormat="false" ht="15" hidden="false" customHeight="false" outlineLevel="0" collapsed="false">
      <c r="A29" s="19" t="s">
        <v>179</v>
      </c>
      <c r="B29" s="5" t="s">
        <v>180</v>
      </c>
      <c r="C29" s="21" t="s">
        <v>181</v>
      </c>
      <c r="D29" s="19" t="s">
        <v>5</v>
      </c>
      <c r="E29" s="19" t="n">
        <v>6</v>
      </c>
      <c r="F29" s="21" t="s">
        <v>175</v>
      </c>
    </row>
    <row r="30" customFormat="false" ht="15" hidden="false" customHeight="false" outlineLevel="0" collapsed="false">
      <c r="A30" s="20" t="s">
        <v>182</v>
      </c>
      <c r="B30" s="8" t="s">
        <v>183</v>
      </c>
      <c r="C30" s="22" t="s">
        <v>184</v>
      </c>
      <c r="D30" s="20" t="s">
        <v>5</v>
      </c>
      <c r="E30" s="20" t="n">
        <v>1</v>
      </c>
      <c r="F30" s="22" t="s">
        <v>175</v>
      </c>
    </row>
    <row r="31" customFormat="false" ht="15" hidden="false" customHeight="false" outlineLevel="0" collapsed="false">
      <c r="A31" s="19" t="s">
        <v>185</v>
      </c>
      <c r="B31" s="5" t="s">
        <v>186</v>
      </c>
      <c r="C31" s="21" t="s">
        <v>187</v>
      </c>
      <c r="D31" s="19" t="s">
        <v>5</v>
      </c>
      <c r="E31" s="19" t="n">
        <v>5</v>
      </c>
      <c r="F31" s="21" t="s">
        <v>175</v>
      </c>
    </row>
    <row r="32" customFormat="false" ht="15" hidden="false" customHeight="false" outlineLevel="0" collapsed="false">
      <c r="A32" s="20" t="s">
        <v>188</v>
      </c>
      <c r="B32" s="8" t="s">
        <v>189</v>
      </c>
      <c r="C32" s="22" t="s">
        <v>190</v>
      </c>
      <c r="D32" s="20" t="s">
        <v>5</v>
      </c>
      <c r="E32" s="20" t="n">
        <v>6</v>
      </c>
      <c r="F32" s="22" t="s">
        <v>175</v>
      </c>
    </row>
    <row r="33" customFormat="false" ht="15" hidden="false" customHeight="false" outlineLevel="0" collapsed="false">
      <c r="A33" s="19" t="s">
        <v>191</v>
      </c>
      <c r="B33" s="5" t="s">
        <v>192</v>
      </c>
      <c r="C33" s="21" t="s">
        <v>193</v>
      </c>
      <c r="D33" s="19" t="s">
        <v>5</v>
      </c>
      <c r="E33" s="19" t="n">
        <v>1</v>
      </c>
      <c r="F33" s="21" t="s">
        <v>175</v>
      </c>
    </row>
    <row r="34" customFormat="false" ht="15" hidden="false" customHeight="false" outlineLevel="0" collapsed="false">
      <c r="A34" s="20" t="s">
        <v>194</v>
      </c>
      <c r="B34" s="8" t="s">
        <v>195</v>
      </c>
      <c r="C34" s="22" t="s">
        <v>196</v>
      </c>
      <c r="D34" s="20" t="s">
        <v>5</v>
      </c>
      <c r="E34" s="20" t="n">
        <v>10</v>
      </c>
      <c r="F34" s="22" t="s">
        <v>197</v>
      </c>
    </row>
    <row r="35" customFormat="false" ht="15" hidden="false" customHeight="false" outlineLevel="0" collapsed="false">
      <c r="A35" s="19" t="s">
        <v>198</v>
      </c>
      <c r="B35" s="5" t="s">
        <v>199</v>
      </c>
      <c r="C35" s="21" t="s">
        <v>196</v>
      </c>
      <c r="D35" s="19" t="s">
        <v>5</v>
      </c>
      <c r="E35" s="19" t="n">
        <v>2</v>
      </c>
      <c r="F35" s="21" t="s">
        <v>197</v>
      </c>
    </row>
    <row r="36" customFormat="false" ht="15" hidden="false" customHeight="false" outlineLevel="0" collapsed="false">
      <c r="A36" s="20" t="s">
        <v>200</v>
      </c>
      <c r="B36" s="8" t="s">
        <v>201</v>
      </c>
      <c r="C36" s="22" t="s">
        <v>202</v>
      </c>
      <c r="D36" s="20" t="s">
        <v>5</v>
      </c>
      <c r="E36" s="20" t="n">
        <v>4</v>
      </c>
      <c r="F36" s="22" t="s">
        <v>197</v>
      </c>
    </row>
    <row r="37" customFormat="false" ht="15" hidden="false" customHeight="false" outlineLevel="0" collapsed="false">
      <c r="A37" s="19" t="s">
        <v>203</v>
      </c>
      <c r="B37" s="5" t="s">
        <v>204</v>
      </c>
      <c r="C37" s="21" t="s">
        <v>205</v>
      </c>
      <c r="D37" s="19" t="s">
        <v>5</v>
      </c>
      <c r="E37" s="19" t="n">
        <v>2</v>
      </c>
      <c r="F37" s="21" t="s">
        <v>197</v>
      </c>
    </row>
    <row r="38" customFormat="false" ht="15" hidden="false" customHeight="false" outlineLevel="0" collapsed="false">
      <c r="A38" s="20" t="s">
        <v>206</v>
      </c>
      <c r="B38" s="8" t="s">
        <v>207</v>
      </c>
      <c r="C38" s="22" t="s">
        <v>208</v>
      </c>
      <c r="D38" s="20" t="s">
        <v>5</v>
      </c>
      <c r="E38" s="20" t="n">
        <v>1</v>
      </c>
      <c r="F38" s="22" t="s">
        <v>197</v>
      </c>
    </row>
    <row r="39" customFormat="false" ht="15" hidden="false" customHeight="false" outlineLevel="0" collapsed="false">
      <c r="A39" s="19" t="s">
        <v>209</v>
      </c>
      <c r="B39" s="5" t="s">
        <v>210</v>
      </c>
      <c r="C39" s="21" t="s">
        <v>145</v>
      </c>
      <c r="D39" s="19" t="s">
        <v>5</v>
      </c>
      <c r="E39" s="19" t="n">
        <v>2</v>
      </c>
      <c r="F39" s="21" t="s">
        <v>197</v>
      </c>
    </row>
    <row r="40" customFormat="false" ht="15" hidden="false" customHeight="false" outlineLevel="0" collapsed="false">
      <c r="A40" s="20" t="s">
        <v>211</v>
      </c>
      <c r="B40" s="8" t="s">
        <v>212</v>
      </c>
      <c r="C40" s="22" t="s">
        <v>196</v>
      </c>
      <c r="D40" s="20" t="s">
        <v>5</v>
      </c>
      <c r="E40" s="20" t="n">
        <v>8</v>
      </c>
      <c r="F40" s="22" t="s">
        <v>197</v>
      </c>
    </row>
    <row r="41" customFormat="false" ht="15" hidden="false" customHeight="false" outlineLevel="0" collapsed="false">
      <c r="A41" s="19" t="s">
        <v>213</v>
      </c>
      <c r="B41" s="5" t="s">
        <v>214</v>
      </c>
      <c r="C41" s="21" t="s">
        <v>196</v>
      </c>
      <c r="D41" s="19" t="s">
        <v>5</v>
      </c>
      <c r="E41" s="19" t="n">
        <v>2</v>
      </c>
      <c r="F41" s="21" t="s">
        <v>197</v>
      </c>
    </row>
    <row r="42" customFormat="false" ht="15" hidden="false" customHeight="false" outlineLevel="0" collapsed="false">
      <c r="A42" s="20" t="s">
        <v>215</v>
      </c>
      <c r="B42" s="8" t="s">
        <v>216</v>
      </c>
      <c r="C42" s="22" t="s">
        <v>217</v>
      </c>
      <c r="D42" s="20" t="s">
        <v>5</v>
      </c>
      <c r="E42" s="20" t="n">
        <v>1</v>
      </c>
      <c r="F42" s="22" t="s">
        <v>197</v>
      </c>
    </row>
    <row r="43" customFormat="false" ht="23.85" hidden="false" customHeight="false" outlineLevel="0" collapsed="false">
      <c r="A43" s="19" t="s">
        <v>218</v>
      </c>
      <c r="B43" s="5" t="s">
        <v>219</v>
      </c>
      <c r="C43" s="21" t="s">
        <v>220</v>
      </c>
      <c r="D43" s="19" t="s">
        <v>5</v>
      </c>
      <c r="E43" s="19" t="n">
        <v>4</v>
      </c>
      <c r="F43" s="21" t="s">
        <v>197</v>
      </c>
    </row>
    <row r="44" customFormat="false" ht="15" hidden="false" customHeight="false" outlineLevel="0" collapsed="false">
      <c r="A44" s="20" t="s">
        <v>221</v>
      </c>
      <c r="B44" s="8" t="s">
        <v>222</v>
      </c>
      <c r="C44" s="22" t="s">
        <v>223</v>
      </c>
      <c r="D44" s="20" t="s">
        <v>5</v>
      </c>
      <c r="E44" s="20" t="n">
        <v>5</v>
      </c>
      <c r="F44" s="22" t="s">
        <v>224</v>
      </c>
    </row>
    <row r="45" customFormat="false" ht="15" hidden="false" customHeight="false" outlineLevel="0" collapsed="false">
      <c r="A45" s="19" t="s">
        <v>225</v>
      </c>
      <c r="B45" s="5" t="s">
        <v>226</v>
      </c>
      <c r="C45" s="21" t="s">
        <v>227</v>
      </c>
      <c r="D45" s="19" t="s">
        <v>5</v>
      </c>
      <c r="E45" s="19" t="n">
        <v>2</v>
      </c>
      <c r="F45" s="21" t="s">
        <v>224</v>
      </c>
    </row>
    <row r="46" customFormat="false" ht="15" hidden="false" customHeight="false" outlineLevel="0" collapsed="false">
      <c r="A46" s="20" t="s">
        <v>228</v>
      </c>
      <c r="B46" s="8" t="s">
        <v>229</v>
      </c>
      <c r="C46" s="22" t="s">
        <v>227</v>
      </c>
      <c r="D46" s="20" t="s">
        <v>5</v>
      </c>
      <c r="E46" s="20" t="n">
        <v>2</v>
      </c>
      <c r="F46" s="22" t="s">
        <v>224</v>
      </c>
    </row>
    <row r="47" customFormat="false" ht="15" hidden="false" customHeight="false" outlineLevel="0" collapsed="false">
      <c r="A47" s="19" t="s">
        <v>230</v>
      </c>
      <c r="B47" s="5" t="s">
        <v>231</v>
      </c>
      <c r="C47" s="21" t="s">
        <v>232</v>
      </c>
      <c r="D47" s="19" t="s">
        <v>5</v>
      </c>
      <c r="E47" s="19" t="n">
        <v>3</v>
      </c>
      <c r="F47" s="21" t="s">
        <v>224</v>
      </c>
    </row>
    <row r="48" customFormat="false" ht="15" hidden="false" customHeight="false" outlineLevel="0" collapsed="false">
      <c r="A48" s="20" t="s">
        <v>233</v>
      </c>
      <c r="B48" s="8" t="s">
        <v>234</v>
      </c>
      <c r="C48" s="22" t="s">
        <v>235</v>
      </c>
      <c r="D48" s="20" t="s">
        <v>5</v>
      </c>
      <c r="E48" s="20" t="n">
        <v>2</v>
      </c>
      <c r="F48" s="22" t="s">
        <v>224</v>
      </c>
    </row>
    <row r="49" customFormat="false" ht="15" hidden="false" customHeight="false" outlineLevel="0" collapsed="false">
      <c r="A49" s="19" t="s">
        <v>236</v>
      </c>
      <c r="B49" s="5" t="s">
        <v>237</v>
      </c>
      <c r="C49" s="21" t="s">
        <v>238</v>
      </c>
      <c r="D49" s="19" t="s">
        <v>5</v>
      </c>
      <c r="E49" s="19" t="n">
        <v>2</v>
      </c>
      <c r="F49" s="21" t="s">
        <v>224</v>
      </c>
    </row>
    <row r="50" customFormat="false" ht="23.85" hidden="false" customHeight="false" outlineLevel="0" collapsed="false">
      <c r="A50" s="20" t="s">
        <v>239</v>
      </c>
      <c r="B50" s="8" t="s">
        <v>240</v>
      </c>
      <c r="C50" s="22" t="s">
        <v>241</v>
      </c>
      <c r="D50" s="20" t="s">
        <v>5</v>
      </c>
      <c r="E50" s="20" t="n">
        <v>8</v>
      </c>
      <c r="F50" s="22" t="s">
        <v>242</v>
      </c>
    </row>
    <row r="51" customFormat="false" ht="15" hidden="false" customHeight="false" outlineLevel="0" collapsed="false">
      <c r="A51" s="19" t="s">
        <v>243</v>
      </c>
      <c r="B51" s="5" t="s">
        <v>244</v>
      </c>
      <c r="C51" s="21" t="s">
        <v>193</v>
      </c>
      <c r="D51" s="19" t="s">
        <v>5</v>
      </c>
      <c r="E51" s="19" t="n">
        <v>2</v>
      </c>
      <c r="F51" s="21" t="s">
        <v>242</v>
      </c>
    </row>
    <row r="52" customFormat="false" ht="15" hidden="false" customHeight="false" outlineLevel="0" collapsed="false">
      <c r="A52" s="20" t="s">
        <v>245</v>
      </c>
      <c r="B52" s="8" t="s">
        <v>246</v>
      </c>
      <c r="C52" s="22" t="s">
        <v>247</v>
      </c>
      <c r="D52" s="20" t="s">
        <v>5</v>
      </c>
      <c r="E52" s="20" t="n">
        <v>4</v>
      </c>
      <c r="F52" s="22" t="s">
        <v>242</v>
      </c>
    </row>
    <row r="53" customFormat="false" ht="15" hidden="false" customHeight="false" outlineLevel="0" collapsed="false">
      <c r="A53" s="19" t="s">
        <v>248</v>
      </c>
      <c r="B53" s="5" t="s">
        <v>249</v>
      </c>
      <c r="C53" s="21" t="s">
        <v>250</v>
      </c>
      <c r="D53" s="19" t="s">
        <v>5</v>
      </c>
      <c r="E53" s="19" t="n">
        <v>3</v>
      </c>
      <c r="F53" s="21" t="s">
        <v>251</v>
      </c>
    </row>
    <row r="54" customFormat="false" ht="15" hidden="false" customHeight="false" outlineLevel="0" collapsed="false">
      <c r="A54" s="20" t="s">
        <v>252</v>
      </c>
      <c r="B54" s="8" t="s">
        <v>253</v>
      </c>
      <c r="C54" s="22" t="s">
        <v>254</v>
      </c>
      <c r="D54" s="20" t="s">
        <v>5</v>
      </c>
      <c r="E54" s="20" t="n">
        <v>3</v>
      </c>
      <c r="F54" s="22" t="s">
        <v>251</v>
      </c>
    </row>
    <row r="55" customFormat="false" ht="15" hidden="false" customHeight="false" outlineLevel="0" collapsed="false">
      <c r="A55" s="19" t="s">
        <v>255</v>
      </c>
      <c r="B55" s="5" t="s">
        <v>256</v>
      </c>
      <c r="C55" s="21" t="s">
        <v>257</v>
      </c>
      <c r="D55" s="19" t="s">
        <v>5</v>
      </c>
      <c r="E55" s="19" t="n">
        <v>3</v>
      </c>
      <c r="F55" s="21" t="s">
        <v>251</v>
      </c>
    </row>
    <row r="56" customFormat="false" ht="15" hidden="false" customHeight="false" outlineLevel="0" collapsed="false">
      <c r="A56" s="20" t="s">
        <v>258</v>
      </c>
      <c r="B56" s="8" t="s">
        <v>259</v>
      </c>
      <c r="C56" s="22" t="s">
        <v>260</v>
      </c>
      <c r="D56" s="20" t="s">
        <v>5</v>
      </c>
      <c r="E56" s="20" t="n">
        <v>2</v>
      </c>
      <c r="F56" s="22" t="s">
        <v>251</v>
      </c>
    </row>
    <row r="57" customFormat="false" ht="15" hidden="false" customHeight="false" outlineLevel="0" collapsed="false">
      <c r="A57" s="19" t="s">
        <v>261</v>
      </c>
      <c r="B57" s="5" t="s">
        <v>262</v>
      </c>
      <c r="C57" s="21" t="s">
        <v>263</v>
      </c>
      <c r="D57" s="19" t="s">
        <v>5</v>
      </c>
      <c r="E57" s="19" t="n">
        <v>3</v>
      </c>
      <c r="F57" s="21" t="s">
        <v>251</v>
      </c>
    </row>
    <row r="58" customFormat="false" ht="15" hidden="false" customHeight="false" outlineLevel="0" collapsed="false">
      <c r="A58" s="20" t="s">
        <v>264</v>
      </c>
      <c r="B58" s="8" t="s">
        <v>265</v>
      </c>
      <c r="C58" s="22" t="s">
        <v>266</v>
      </c>
      <c r="D58" s="20" t="s">
        <v>5</v>
      </c>
      <c r="E58" s="20" t="n">
        <v>1</v>
      </c>
      <c r="F58" s="22" t="s">
        <v>251</v>
      </c>
    </row>
    <row r="59" customFormat="false" ht="15" hidden="false" customHeight="false" outlineLevel="0" collapsed="false">
      <c r="A59" s="19" t="s">
        <v>267</v>
      </c>
      <c r="B59" s="5" t="s">
        <v>268</v>
      </c>
      <c r="C59" s="21" t="s">
        <v>269</v>
      </c>
      <c r="D59" s="19" t="s">
        <v>5</v>
      </c>
      <c r="E59" s="19" t="n">
        <v>3</v>
      </c>
      <c r="F59" s="21" t="s">
        <v>251</v>
      </c>
    </row>
    <row r="60" customFormat="false" ht="15" hidden="false" customHeight="false" outlineLevel="0" collapsed="false">
      <c r="A60" s="20" t="s">
        <v>270</v>
      </c>
      <c r="B60" s="8" t="s">
        <v>271</v>
      </c>
      <c r="C60" s="22" t="s">
        <v>272</v>
      </c>
      <c r="D60" s="20" t="s">
        <v>5</v>
      </c>
      <c r="E60" s="20" t="n">
        <v>6</v>
      </c>
      <c r="F60" s="22" t="s">
        <v>273</v>
      </c>
    </row>
    <row r="61" customFormat="false" ht="15" hidden="false" customHeight="false" outlineLevel="0" collapsed="false">
      <c r="A61" s="19" t="s">
        <v>274</v>
      </c>
      <c r="B61" s="5" t="s">
        <v>275</v>
      </c>
      <c r="C61" s="21" t="s">
        <v>276</v>
      </c>
      <c r="D61" s="19" t="s">
        <v>5</v>
      </c>
      <c r="E61" s="19" t="n">
        <v>8</v>
      </c>
      <c r="F61" s="21" t="s">
        <v>273</v>
      </c>
    </row>
    <row r="62" customFormat="false" ht="15" hidden="false" customHeight="false" outlineLevel="0" collapsed="false">
      <c r="A62" s="20" t="s">
        <v>277</v>
      </c>
      <c r="B62" s="8" t="s">
        <v>278</v>
      </c>
      <c r="C62" s="22" t="s">
        <v>272</v>
      </c>
      <c r="D62" s="20" t="s">
        <v>5</v>
      </c>
      <c r="E62" s="20" t="n">
        <v>6</v>
      </c>
      <c r="F62" s="22" t="s">
        <v>273</v>
      </c>
    </row>
    <row r="63" customFormat="false" ht="15" hidden="false" customHeight="false" outlineLevel="0" collapsed="false">
      <c r="A63" s="19" t="s">
        <v>279</v>
      </c>
      <c r="B63" s="5" t="s">
        <v>280</v>
      </c>
      <c r="C63" s="21" t="s">
        <v>276</v>
      </c>
      <c r="D63" s="19" t="s">
        <v>5</v>
      </c>
      <c r="E63" s="19" t="n">
        <v>8</v>
      </c>
      <c r="F63" s="21" t="s">
        <v>273</v>
      </c>
    </row>
    <row r="64" customFormat="false" ht="15" hidden="false" customHeight="false" outlineLevel="0" collapsed="false">
      <c r="A64" s="20" t="s">
        <v>281</v>
      </c>
      <c r="B64" s="8" t="s">
        <v>282</v>
      </c>
      <c r="C64" s="22" t="s">
        <v>168</v>
      </c>
      <c r="D64" s="20" t="s">
        <v>5</v>
      </c>
      <c r="E64" s="20" t="n">
        <v>4</v>
      </c>
      <c r="F64" s="22" t="s">
        <v>273</v>
      </c>
    </row>
    <row r="65" customFormat="false" ht="15" hidden="false" customHeight="false" outlineLevel="0" collapsed="false">
      <c r="A65" s="19" t="s">
        <v>283</v>
      </c>
      <c r="B65" s="5" t="s">
        <v>284</v>
      </c>
      <c r="C65" s="21" t="s">
        <v>116</v>
      </c>
      <c r="D65" s="19" t="s">
        <v>5</v>
      </c>
      <c r="E65" s="19" t="n">
        <v>6</v>
      </c>
      <c r="F65" s="21" t="s">
        <v>285</v>
      </c>
    </row>
    <row r="66" customFormat="false" ht="15" hidden="false" customHeight="false" outlineLevel="0" collapsed="false">
      <c r="A66" s="20" t="s">
        <v>286</v>
      </c>
      <c r="B66" s="8" t="s">
        <v>287</v>
      </c>
      <c r="C66" s="22" t="s">
        <v>288</v>
      </c>
      <c r="D66" s="20" t="s">
        <v>5</v>
      </c>
      <c r="E66" s="20" t="n">
        <v>5</v>
      </c>
      <c r="F66" s="22" t="s">
        <v>285</v>
      </c>
    </row>
    <row r="67" customFormat="false" ht="15" hidden="false" customHeight="false" outlineLevel="0" collapsed="false">
      <c r="A67" s="19" t="s">
        <v>289</v>
      </c>
      <c r="B67" s="5" t="s">
        <v>290</v>
      </c>
      <c r="C67" s="21" t="s">
        <v>291</v>
      </c>
      <c r="D67" s="19" t="s">
        <v>5</v>
      </c>
      <c r="E67" s="19" t="n">
        <v>1</v>
      </c>
      <c r="F67" s="21" t="s">
        <v>285</v>
      </c>
    </row>
    <row r="68" customFormat="false" ht="15" hidden="false" customHeight="false" outlineLevel="0" collapsed="false">
      <c r="A68" s="20" t="s">
        <v>292</v>
      </c>
      <c r="B68" s="8" t="s">
        <v>293</v>
      </c>
      <c r="C68" s="22" t="s">
        <v>294</v>
      </c>
      <c r="D68" s="20" t="s">
        <v>5</v>
      </c>
      <c r="E68" s="20" t="n">
        <v>8</v>
      </c>
      <c r="F68" s="22" t="s">
        <v>285</v>
      </c>
    </row>
    <row r="69" customFormat="false" ht="15" hidden="false" customHeight="false" outlineLevel="0" collapsed="false">
      <c r="A69" s="19" t="s">
        <v>295</v>
      </c>
      <c r="B69" s="5" t="s">
        <v>296</v>
      </c>
      <c r="C69" s="21" t="s">
        <v>297</v>
      </c>
      <c r="D69" s="19" t="s">
        <v>129</v>
      </c>
      <c r="E69" s="19" t="n">
        <v>1</v>
      </c>
      <c r="F69" s="21" t="s">
        <v>285</v>
      </c>
    </row>
    <row r="70" customFormat="false" ht="15" hidden="false" customHeight="false" outlineLevel="0" collapsed="false">
      <c r="A70" s="20" t="s">
        <v>298</v>
      </c>
      <c r="B70" s="8" t="s">
        <v>299</v>
      </c>
      <c r="C70" s="22" t="s">
        <v>116</v>
      </c>
      <c r="D70" s="20" t="s">
        <v>5</v>
      </c>
      <c r="E70" s="20" t="n">
        <v>6</v>
      </c>
      <c r="F70" s="22" t="s">
        <v>300</v>
      </c>
    </row>
    <row r="71" customFormat="false" ht="15" hidden="false" customHeight="false" outlineLevel="0" collapsed="false">
      <c r="A71" s="19" t="s">
        <v>301</v>
      </c>
      <c r="B71" s="5" t="s">
        <v>302</v>
      </c>
      <c r="C71" s="21" t="s">
        <v>303</v>
      </c>
      <c r="D71" s="19" t="s">
        <v>5</v>
      </c>
      <c r="E71" s="19" t="n">
        <v>6</v>
      </c>
      <c r="F71" s="21" t="s">
        <v>300</v>
      </c>
    </row>
    <row r="72" customFormat="false" ht="15" hidden="false" customHeight="false" outlineLevel="0" collapsed="false">
      <c r="A72" s="20" t="s">
        <v>304</v>
      </c>
      <c r="B72" s="8" t="s">
        <v>305</v>
      </c>
      <c r="C72" s="22" t="s">
        <v>306</v>
      </c>
      <c r="D72" s="20" t="s">
        <v>5</v>
      </c>
      <c r="E72" s="20" t="n">
        <v>1</v>
      </c>
      <c r="F72" s="22" t="s">
        <v>300</v>
      </c>
    </row>
    <row r="73" customFormat="false" ht="15" hidden="false" customHeight="false" outlineLevel="0" collapsed="false">
      <c r="A73" s="19" t="s">
        <v>307</v>
      </c>
      <c r="B73" s="5" t="s">
        <v>308</v>
      </c>
      <c r="C73" s="21" t="s">
        <v>309</v>
      </c>
      <c r="D73" s="19" t="s">
        <v>5</v>
      </c>
      <c r="E73" s="19" t="n">
        <v>4</v>
      </c>
      <c r="F73" s="21" t="s">
        <v>300</v>
      </c>
    </row>
    <row r="74" customFormat="false" ht="15" hidden="false" customHeight="false" outlineLevel="0" collapsed="false">
      <c r="A74" s="20" t="s">
        <v>310</v>
      </c>
      <c r="B74" s="8" t="s">
        <v>311</v>
      </c>
      <c r="C74" s="22" t="s">
        <v>303</v>
      </c>
      <c r="D74" s="20" t="s">
        <v>5</v>
      </c>
      <c r="E74" s="20" t="n">
        <v>2</v>
      </c>
      <c r="F74" s="22" t="s">
        <v>300</v>
      </c>
    </row>
    <row r="75" customFormat="false" ht="15" hidden="false" customHeight="false" outlineLevel="0" collapsed="false">
      <c r="A75" s="19" t="s">
        <v>312</v>
      </c>
      <c r="B75" s="5" t="s">
        <v>313</v>
      </c>
      <c r="C75" s="21" t="s">
        <v>314</v>
      </c>
      <c r="D75" s="19" t="s">
        <v>5</v>
      </c>
      <c r="E75" s="19" t="n">
        <v>1</v>
      </c>
      <c r="F75" s="21" t="s">
        <v>300</v>
      </c>
    </row>
    <row r="76" customFormat="false" ht="15" hidden="false" customHeight="false" outlineLevel="0" collapsed="false">
      <c r="A76" s="20" t="s">
        <v>315</v>
      </c>
      <c r="B76" s="8" t="s">
        <v>316</v>
      </c>
      <c r="C76" s="22" t="s">
        <v>154</v>
      </c>
      <c r="D76" s="20" t="s">
        <v>5</v>
      </c>
      <c r="E76" s="20" t="n">
        <v>14</v>
      </c>
      <c r="F76" s="22" t="s">
        <v>317</v>
      </c>
    </row>
    <row r="77" customFormat="false" ht="15" hidden="false" customHeight="false" outlineLevel="0" collapsed="false">
      <c r="A77" s="19" t="s">
        <v>318</v>
      </c>
      <c r="B77" s="5" t="s">
        <v>319</v>
      </c>
      <c r="C77" s="21" t="s">
        <v>320</v>
      </c>
      <c r="D77" s="19" t="s">
        <v>5</v>
      </c>
      <c r="E77" s="19" t="n">
        <v>6</v>
      </c>
      <c r="F77" s="21" t="s">
        <v>317</v>
      </c>
    </row>
    <row r="78" customFormat="false" ht="15" hidden="false" customHeight="false" outlineLevel="0" collapsed="false">
      <c r="A78" s="20" t="s">
        <v>321</v>
      </c>
      <c r="B78" s="8" t="s">
        <v>322</v>
      </c>
      <c r="C78" s="22" t="s">
        <v>323</v>
      </c>
      <c r="D78" s="20" t="s">
        <v>5</v>
      </c>
      <c r="E78" s="20" t="n">
        <v>6</v>
      </c>
      <c r="F78" s="22" t="s">
        <v>317</v>
      </c>
    </row>
    <row r="79" customFormat="false" ht="15" hidden="false" customHeight="false" outlineLevel="0" collapsed="false">
      <c r="A79" s="19" t="s">
        <v>324</v>
      </c>
      <c r="B79" s="5" t="s">
        <v>325</v>
      </c>
      <c r="C79" s="21" t="s">
        <v>326</v>
      </c>
      <c r="D79" s="19" t="s">
        <v>5</v>
      </c>
      <c r="E79" s="19" t="n">
        <v>10</v>
      </c>
      <c r="F79" s="21" t="s">
        <v>317</v>
      </c>
    </row>
    <row r="80" customFormat="false" ht="15" hidden="false" customHeight="false" outlineLevel="0" collapsed="false">
      <c r="A80" s="20" t="s">
        <v>327</v>
      </c>
      <c r="B80" s="8" t="s">
        <v>328</v>
      </c>
      <c r="C80" s="22" t="s">
        <v>329</v>
      </c>
      <c r="D80" s="20" t="s">
        <v>5</v>
      </c>
      <c r="E80" s="20" t="n">
        <v>1</v>
      </c>
      <c r="F80" s="22" t="s">
        <v>317</v>
      </c>
    </row>
    <row r="81" customFormat="false" ht="15" hidden="false" customHeight="false" outlineLevel="0" collapsed="false">
      <c r="A81" s="19" t="s">
        <v>330</v>
      </c>
      <c r="B81" s="5" t="s">
        <v>331</v>
      </c>
      <c r="C81" s="21" t="s">
        <v>332</v>
      </c>
      <c r="D81" s="19" t="s">
        <v>5</v>
      </c>
      <c r="E81" s="19" t="n">
        <v>18</v>
      </c>
      <c r="F81" s="21" t="s">
        <v>333</v>
      </c>
    </row>
    <row r="82" customFormat="false" ht="15" hidden="false" customHeight="false" outlineLevel="0" collapsed="false">
      <c r="A82" s="20" t="s">
        <v>334</v>
      </c>
      <c r="B82" s="8" t="s">
        <v>335</v>
      </c>
      <c r="C82" s="22" t="s">
        <v>336</v>
      </c>
      <c r="D82" s="20" t="s">
        <v>5</v>
      </c>
      <c r="E82" s="20" t="n">
        <v>5</v>
      </c>
      <c r="F82" s="22" t="s">
        <v>337</v>
      </c>
    </row>
    <row r="83" customFormat="false" ht="15" hidden="false" customHeight="false" outlineLevel="0" collapsed="false">
      <c r="A83" s="19" t="s">
        <v>338</v>
      </c>
      <c r="B83" s="5" t="s">
        <v>339</v>
      </c>
      <c r="C83" s="21" t="s">
        <v>340</v>
      </c>
      <c r="D83" s="19" t="s">
        <v>5</v>
      </c>
      <c r="E83" s="19" t="n">
        <v>5</v>
      </c>
      <c r="F83" s="21" t="s">
        <v>337</v>
      </c>
    </row>
    <row r="84" customFormat="false" ht="15" hidden="false" customHeight="false" outlineLevel="0" collapsed="false">
      <c r="A84" s="20" t="s">
        <v>341</v>
      </c>
      <c r="B84" s="8" t="s">
        <v>342</v>
      </c>
      <c r="C84" s="22" t="s">
        <v>116</v>
      </c>
      <c r="D84" s="20" t="s">
        <v>5</v>
      </c>
      <c r="E84" s="20" t="n">
        <v>12</v>
      </c>
      <c r="F84" s="22" t="s">
        <v>343</v>
      </c>
    </row>
    <row r="85" customFormat="false" ht="15" hidden="false" customHeight="false" outlineLevel="0" collapsed="false">
      <c r="A85" s="19" t="s">
        <v>344</v>
      </c>
      <c r="B85" s="5" t="s">
        <v>345</v>
      </c>
      <c r="C85" s="21" t="s">
        <v>346</v>
      </c>
      <c r="D85" s="19" t="s">
        <v>5</v>
      </c>
      <c r="E85" s="19" t="n">
        <v>7</v>
      </c>
      <c r="F85" s="21" t="s">
        <v>343</v>
      </c>
    </row>
    <row r="86" customFormat="false" ht="15" hidden="false" customHeight="false" outlineLevel="0" collapsed="false">
      <c r="A86" s="20" t="s">
        <v>347</v>
      </c>
      <c r="B86" s="8" t="s">
        <v>348</v>
      </c>
      <c r="C86" s="22" t="s">
        <v>349</v>
      </c>
      <c r="D86" s="20" t="s">
        <v>5</v>
      </c>
      <c r="E86" s="20" t="n">
        <v>2</v>
      </c>
      <c r="F86" s="22" t="s">
        <v>343</v>
      </c>
    </row>
    <row r="87" customFormat="false" ht="15" hidden="false" customHeight="false" outlineLevel="0" collapsed="false">
      <c r="A87" s="19" t="s">
        <v>350</v>
      </c>
      <c r="B87" s="5" t="s">
        <v>351</v>
      </c>
      <c r="C87" s="21" t="s">
        <v>352</v>
      </c>
      <c r="D87" s="19" t="s">
        <v>5</v>
      </c>
      <c r="E87" s="19" t="n">
        <v>3</v>
      </c>
      <c r="F87" s="21" t="s">
        <v>353</v>
      </c>
    </row>
    <row r="88" customFormat="false" ht="15" hidden="false" customHeight="false" outlineLevel="0" collapsed="false">
      <c r="A88" s="20" t="s">
        <v>354</v>
      </c>
      <c r="B88" s="8" t="s">
        <v>355</v>
      </c>
      <c r="C88" s="22" t="s">
        <v>205</v>
      </c>
      <c r="D88" s="20" t="s">
        <v>5</v>
      </c>
      <c r="E88" s="20" t="n">
        <v>2</v>
      </c>
      <c r="F88" s="22" t="s">
        <v>356</v>
      </c>
    </row>
    <row r="89" customFormat="false" ht="15" hidden="false" customHeight="false" outlineLevel="0" collapsed="false">
      <c r="A89" s="19" t="s">
        <v>357</v>
      </c>
      <c r="B89" s="5" t="s">
        <v>358</v>
      </c>
      <c r="C89" s="21" t="s">
        <v>359</v>
      </c>
      <c r="D89" s="19" t="s">
        <v>5</v>
      </c>
      <c r="E89" s="19" t="n">
        <v>2</v>
      </c>
      <c r="F89" s="21" t="s">
        <v>356</v>
      </c>
    </row>
    <row r="90" customFormat="false" ht="15" hidden="false" customHeight="false" outlineLevel="0" collapsed="false">
      <c r="A90" s="20" t="s">
        <v>360</v>
      </c>
      <c r="B90" s="8" t="s">
        <v>361</v>
      </c>
      <c r="C90" s="22" t="s">
        <v>359</v>
      </c>
      <c r="D90" s="20" t="s">
        <v>5</v>
      </c>
      <c r="E90" s="20" t="n">
        <v>2</v>
      </c>
      <c r="F90" s="22" t="s">
        <v>356</v>
      </c>
    </row>
    <row r="91" customFormat="false" ht="15" hidden="false" customHeight="false" outlineLevel="0" collapsed="false">
      <c r="A91" s="19" t="s">
        <v>362</v>
      </c>
      <c r="B91" s="5" t="s">
        <v>363</v>
      </c>
      <c r="C91" s="21" t="s">
        <v>364</v>
      </c>
      <c r="D91" s="19" t="s">
        <v>5</v>
      </c>
      <c r="E91" s="19" t="n">
        <v>1</v>
      </c>
      <c r="F91" s="21" t="s">
        <v>365</v>
      </c>
    </row>
    <row r="92" customFormat="false" ht="15" hidden="false" customHeight="false" outlineLevel="0" collapsed="false">
      <c r="A92" s="20" t="s">
        <v>366</v>
      </c>
      <c r="B92" s="8" t="s">
        <v>367</v>
      </c>
      <c r="C92" s="22" t="s">
        <v>368</v>
      </c>
      <c r="D92" s="20" t="s">
        <v>5</v>
      </c>
      <c r="E92" s="20" t="n">
        <v>2</v>
      </c>
      <c r="F92" s="22" t="s">
        <v>369</v>
      </c>
    </row>
    <row r="93" customFormat="false" ht="15" hidden="false" customHeight="false" outlineLevel="0" collapsed="false">
      <c r="A93" s="19" t="s">
        <v>370</v>
      </c>
      <c r="B93" s="5" t="s">
        <v>371</v>
      </c>
      <c r="C93" s="21" t="s">
        <v>372</v>
      </c>
      <c r="D93" s="19" t="s">
        <v>5</v>
      </c>
      <c r="E93" s="19" t="n">
        <v>2</v>
      </c>
      <c r="F93" s="21" t="s">
        <v>369</v>
      </c>
    </row>
    <row r="94" customFormat="false" ht="15" hidden="false" customHeight="false" outlineLevel="0" collapsed="false">
      <c r="A94" s="20" t="s">
        <v>373</v>
      </c>
      <c r="B94" s="8" t="s">
        <v>374</v>
      </c>
      <c r="C94" s="22" t="s">
        <v>375</v>
      </c>
      <c r="D94" s="20" t="s">
        <v>5</v>
      </c>
      <c r="E94" s="20" t="n">
        <v>3</v>
      </c>
      <c r="F94" s="22" t="s">
        <v>369</v>
      </c>
    </row>
    <row r="95" customFormat="false" ht="15" hidden="false" customHeight="false" outlineLevel="0" collapsed="false">
      <c r="A95" s="19" t="s">
        <v>376</v>
      </c>
      <c r="B95" s="5" t="s">
        <v>377</v>
      </c>
      <c r="C95" s="21" t="s">
        <v>378</v>
      </c>
      <c r="D95" s="19" t="s">
        <v>5</v>
      </c>
      <c r="E95" s="19" t="n">
        <v>3</v>
      </c>
      <c r="F95" s="21" t="s">
        <v>369</v>
      </c>
    </row>
    <row r="96" customFormat="false" ht="15" hidden="false" customHeight="false" outlineLevel="0" collapsed="false">
      <c r="A96" s="20" t="s">
        <v>379</v>
      </c>
      <c r="B96" s="8" t="s">
        <v>380</v>
      </c>
      <c r="C96" s="22" t="s">
        <v>381</v>
      </c>
      <c r="D96" s="20" t="s">
        <v>5</v>
      </c>
      <c r="E96" s="20" t="n">
        <v>1</v>
      </c>
      <c r="F96" s="22" t="s">
        <v>369</v>
      </c>
    </row>
    <row r="97" customFormat="false" ht="15" hidden="false" customHeight="false" outlineLevel="0" collapsed="false">
      <c r="A97" s="19" t="s">
        <v>382</v>
      </c>
      <c r="B97" s="5" t="s">
        <v>383</v>
      </c>
      <c r="C97" s="21" t="s">
        <v>384</v>
      </c>
      <c r="D97" s="19" t="s">
        <v>129</v>
      </c>
      <c r="E97" s="19" t="n">
        <v>1</v>
      </c>
      <c r="F97" s="21" t="s">
        <v>369</v>
      </c>
    </row>
    <row r="98" customFormat="false" ht="15" hidden="false" customHeight="false" outlineLevel="0" collapsed="false">
      <c r="A98" s="20" t="s">
        <v>385</v>
      </c>
      <c r="B98" s="8" t="s">
        <v>386</v>
      </c>
      <c r="C98" s="22" t="s">
        <v>387</v>
      </c>
      <c r="D98" s="20" t="s">
        <v>129</v>
      </c>
      <c r="E98" s="20" t="n">
        <v>2</v>
      </c>
      <c r="F98" s="22" t="s">
        <v>369</v>
      </c>
    </row>
    <row r="100" customFormat="false" ht="15" hidden="false" customHeight="false" outlineLevel="0" collapsed="false">
      <c r="B100" s="11" t="s">
        <v>388</v>
      </c>
      <c r="E100" s="23" t="n">
        <f aca="false">SUM(E5:E98)</f>
        <v>400</v>
      </c>
    </row>
  </sheetData>
  <mergeCells count="2">
    <mergeCell ref="A1:F1"/>
    <mergeCell ref="A2:F2"/>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Art Asset List</oddHeader>
    <oddFooter>&amp;LYellow cells with blue text are yours to fill in. Black text is a formula or fixed spec.&amp;RPage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2"/>
    <col collapsed="false" customWidth="true" hidden="false" outlineLevel="0" max="3" min="3" style="0" width="34"/>
    <col collapsed="false" customWidth="true" hidden="false" outlineLevel="0" max="4" min="4" style="0" width="22"/>
  </cols>
  <sheetData>
    <row r="1" customFormat="false" ht="31.5" hidden="false" customHeight="true" outlineLevel="0" collapsed="false">
      <c r="A1" s="1" t="s">
        <v>0</v>
      </c>
      <c r="B1" s="1"/>
      <c r="C1" s="1"/>
      <c r="D1" s="1"/>
    </row>
    <row r="2" customFormat="false" ht="19.5" hidden="false" customHeight="true" outlineLevel="0" collapsed="false">
      <c r="A2" s="2" t="s">
        <v>389</v>
      </c>
      <c r="B2" s="2"/>
      <c r="C2" s="2"/>
      <c r="D2" s="2"/>
    </row>
    <row r="4" customFormat="false" ht="18" hidden="false" customHeight="true" outlineLevel="0" collapsed="false">
      <c r="A4" s="3" t="s">
        <v>390</v>
      </c>
      <c r="B4" s="3"/>
      <c r="C4" s="3"/>
      <c r="D4" s="3"/>
    </row>
    <row r="5" customFormat="false" ht="30" hidden="false" customHeight="true" outlineLevel="0" collapsed="false">
      <c r="A5" s="24" t="s">
        <v>391</v>
      </c>
      <c r="B5" s="24"/>
      <c r="C5" s="24"/>
      <c r="D5" s="24"/>
    </row>
    <row r="6" customFormat="false" ht="30" hidden="false" customHeight="true" outlineLevel="0" collapsed="false">
      <c r="A6" s="24" t="s">
        <v>392</v>
      </c>
      <c r="B6" s="24"/>
      <c r="C6" s="24"/>
      <c r="D6" s="24"/>
    </row>
    <row r="7" customFormat="false" ht="30" hidden="false" customHeight="true" outlineLevel="0" collapsed="false">
      <c r="A7" s="24" t="s">
        <v>393</v>
      </c>
      <c r="B7" s="24"/>
      <c r="C7" s="24"/>
      <c r="D7" s="24"/>
    </row>
    <row r="8" customFormat="false" ht="30" hidden="false" customHeight="true" outlineLevel="0" collapsed="false">
      <c r="A8" s="24" t="s">
        <v>394</v>
      </c>
      <c r="B8" s="24"/>
      <c r="C8" s="24"/>
      <c r="D8" s="24"/>
    </row>
    <row r="9" customFormat="false" ht="30" hidden="false" customHeight="true" outlineLevel="0" collapsed="false">
      <c r="A9" s="24" t="s">
        <v>395</v>
      </c>
      <c r="B9" s="24"/>
      <c r="C9" s="24"/>
      <c r="D9" s="24"/>
    </row>
    <row r="10" customFormat="false" ht="30" hidden="false" customHeight="true" outlineLevel="0" collapsed="false">
      <c r="A10" s="24" t="s">
        <v>396</v>
      </c>
      <c r="B10" s="24"/>
      <c r="C10" s="24"/>
      <c r="D10" s="24"/>
    </row>
    <row r="12" customFormat="false" ht="18" hidden="false" customHeight="true" outlineLevel="0" collapsed="false">
      <c r="A12" s="3" t="s">
        <v>397</v>
      </c>
      <c r="B12" s="3"/>
      <c r="C12" s="3"/>
      <c r="D12" s="3"/>
    </row>
    <row r="13" customFormat="false" ht="30" hidden="false" customHeight="true" outlineLevel="0" collapsed="false">
      <c r="A13" s="4" t="s">
        <v>398</v>
      </c>
      <c r="B13" s="4" t="s">
        <v>399</v>
      </c>
      <c r="C13" s="4" t="s">
        <v>400</v>
      </c>
      <c r="D13" s="4" t="s">
        <v>401</v>
      </c>
    </row>
    <row r="14" customFormat="false" ht="31.5" hidden="false" customHeight="true" outlineLevel="0" collapsed="false">
      <c r="A14" s="5" t="s">
        <v>402</v>
      </c>
      <c r="B14" s="21" t="s">
        <v>403</v>
      </c>
      <c r="C14" s="21" t="s">
        <v>404</v>
      </c>
      <c r="D14" s="21" t="s">
        <v>405</v>
      </c>
    </row>
    <row r="15" customFormat="false" ht="31.5" hidden="false" customHeight="true" outlineLevel="0" collapsed="false">
      <c r="A15" s="8" t="s">
        <v>406</v>
      </c>
      <c r="B15" s="22" t="s">
        <v>407</v>
      </c>
      <c r="C15" s="22" t="s">
        <v>408</v>
      </c>
      <c r="D15" s="22" t="s">
        <v>409</v>
      </c>
    </row>
    <row r="16" customFormat="false" ht="31.5" hidden="false" customHeight="true" outlineLevel="0" collapsed="false">
      <c r="A16" s="5" t="s">
        <v>410</v>
      </c>
      <c r="B16" s="21" t="s">
        <v>411</v>
      </c>
      <c r="C16" s="21" t="s">
        <v>412</v>
      </c>
      <c r="D16" s="21" t="s">
        <v>413</v>
      </c>
    </row>
    <row r="17" customFormat="false" ht="31.5" hidden="false" customHeight="true" outlineLevel="0" collapsed="false">
      <c r="A17" s="8" t="s">
        <v>414</v>
      </c>
      <c r="B17" s="22" t="s">
        <v>415</v>
      </c>
      <c r="C17" s="22" t="s">
        <v>416</v>
      </c>
      <c r="D17" s="22" t="s">
        <v>405</v>
      </c>
    </row>
    <row r="18" customFormat="false" ht="31.5" hidden="false" customHeight="true" outlineLevel="0" collapsed="false">
      <c r="A18" s="5" t="s">
        <v>417</v>
      </c>
      <c r="B18" s="21" t="s">
        <v>418</v>
      </c>
      <c r="C18" s="21" t="s">
        <v>419</v>
      </c>
      <c r="D18" s="21" t="s">
        <v>420</v>
      </c>
    </row>
    <row r="19" customFormat="false" ht="31.5" hidden="false" customHeight="true" outlineLevel="0" collapsed="false">
      <c r="A19" s="8" t="s">
        <v>421</v>
      </c>
      <c r="B19" s="22" t="s">
        <v>422</v>
      </c>
      <c r="C19" s="22" t="s">
        <v>423</v>
      </c>
      <c r="D19" s="22" t="s">
        <v>424</v>
      </c>
    </row>
    <row r="20" customFormat="false" ht="31.5" hidden="false" customHeight="true" outlineLevel="0" collapsed="false">
      <c r="A20" s="5" t="s">
        <v>425</v>
      </c>
      <c r="B20" s="21" t="s">
        <v>426</v>
      </c>
      <c r="C20" s="21" t="s">
        <v>427</v>
      </c>
      <c r="D20" s="21" t="s">
        <v>428</v>
      </c>
    </row>
    <row r="21" customFormat="false" ht="31.5" hidden="false" customHeight="true" outlineLevel="0" collapsed="false">
      <c r="A21" s="8" t="s">
        <v>429</v>
      </c>
      <c r="B21" s="22" t="s">
        <v>430</v>
      </c>
      <c r="C21" s="22" t="s">
        <v>431</v>
      </c>
      <c r="D21" s="22" t="s">
        <v>432</v>
      </c>
    </row>
    <row r="22" customFormat="false" ht="31.5" hidden="false" customHeight="true" outlineLevel="0" collapsed="false">
      <c r="A22" s="5" t="s">
        <v>433</v>
      </c>
      <c r="B22" s="21" t="s">
        <v>434</v>
      </c>
      <c r="C22" s="21" t="s">
        <v>435</v>
      </c>
      <c r="D22" s="21" t="s">
        <v>436</v>
      </c>
    </row>
    <row r="23" customFormat="false" ht="31.5" hidden="false" customHeight="true" outlineLevel="0" collapsed="false">
      <c r="A23" s="8" t="s">
        <v>437</v>
      </c>
      <c r="B23" s="22" t="s">
        <v>438</v>
      </c>
      <c r="C23" s="22" t="s">
        <v>439</v>
      </c>
      <c r="D23" s="22" t="s">
        <v>440</v>
      </c>
    </row>
    <row r="24" customFormat="false" ht="31.5" hidden="false" customHeight="true" outlineLevel="0" collapsed="false">
      <c r="A24" s="5" t="s">
        <v>441</v>
      </c>
      <c r="B24" s="21" t="s">
        <v>442</v>
      </c>
      <c r="C24" s="21" t="s">
        <v>443</v>
      </c>
      <c r="D24" s="21" t="s">
        <v>444</v>
      </c>
    </row>
    <row r="25" customFormat="false" ht="31.5" hidden="false" customHeight="true" outlineLevel="0" collapsed="false">
      <c r="A25" s="8" t="s">
        <v>445</v>
      </c>
      <c r="B25" s="22" t="s">
        <v>446</v>
      </c>
      <c r="C25" s="22" t="s">
        <v>447</v>
      </c>
      <c r="D25" s="22" t="s">
        <v>405</v>
      </c>
    </row>
    <row r="26" customFormat="false" ht="31.5" hidden="false" customHeight="true" outlineLevel="0" collapsed="false">
      <c r="A26" s="5" t="s">
        <v>448</v>
      </c>
      <c r="B26" s="21" t="s">
        <v>449</v>
      </c>
      <c r="C26" s="21" t="s">
        <v>450</v>
      </c>
      <c r="D26" s="21" t="s">
        <v>451</v>
      </c>
    </row>
    <row r="27" customFormat="false" ht="31.5" hidden="false" customHeight="true" outlineLevel="0" collapsed="false">
      <c r="A27" s="8" t="s">
        <v>452</v>
      </c>
      <c r="B27" s="22" t="s">
        <v>453</v>
      </c>
      <c r="C27" s="22" t="s">
        <v>454</v>
      </c>
      <c r="D27" s="22" t="s">
        <v>405</v>
      </c>
    </row>
    <row r="29" customFormat="false" ht="18" hidden="false" customHeight="true" outlineLevel="0" collapsed="false">
      <c r="A29" s="15" t="s">
        <v>455</v>
      </c>
      <c r="B29" s="15"/>
      <c r="C29" s="15"/>
      <c r="D29" s="15"/>
    </row>
    <row r="30" customFormat="false" ht="30" hidden="false" customHeight="true" outlineLevel="0" collapsed="false">
      <c r="A30" s="4" t="s">
        <v>25</v>
      </c>
      <c r="B30" s="4" t="s">
        <v>26</v>
      </c>
      <c r="C30" s="4" t="s">
        <v>456</v>
      </c>
      <c r="D30" s="4" t="s">
        <v>457</v>
      </c>
    </row>
    <row r="31" customFormat="false" ht="23.85" hidden="false" customHeight="false" outlineLevel="0" collapsed="false">
      <c r="A31" s="5" t="s">
        <v>458</v>
      </c>
      <c r="B31" s="21" t="s">
        <v>459</v>
      </c>
      <c r="C31" s="21" t="s">
        <v>460</v>
      </c>
      <c r="D31" s="21" t="s">
        <v>461</v>
      </c>
    </row>
    <row r="32" customFormat="false" ht="15" hidden="false" customHeight="false" outlineLevel="0" collapsed="false">
      <c r="A32" s="8" t="s">
        <v>462</v>
      </c>
      <c r="B32" s="22" t="s">
        <v>463</v>
      </c>
      <c r="C32" s="22" t="s">
        <v>464</v>
      </c>
      <c r="D32" s="22" t="s">
        <v>465</v>
      </c>
    </row>
    <row r="33" customFormat="false" ht="15" hidden="false" customHeight="false" outlineLevel="0" collapsed="false">
      <c r="A33" s="5" t="s">
        <v>466</v>
      </c>
      <c r="B33" s="21" t="s">
        <v>467</v>
      </c>
      <c r="C33" s="21" t="s">
        <v>468</v>
      </c>
      <c r="D33" s="21"/>
    </row>
    <row r="34" customFormat="false" ht="15" hidden="false" customHeight="false" outlineLevel="0" collapsed="false">
      <c r="A34" s="8" t="s">
        <v>469</v>
      </c>
      <c r="B34" s="22" t="s">
        <v>470</v>
      </c>
      <c r="C34" s="22" t="s">
        <v>471</v>
      </c>
      <c r="D34" s="22" t="s">
        <v>472</v>
      </c>
    </row>
    <row r="35" customFormat="false" ht="15" hidden="false" customHeight="false" outlineLevel="0" collapsed="false">
      <c r="A35" s="5" t="s">
        <v>473</v>
      </c>
      <c r="B35" s="21" t="s">
        <v>474</v>
      </c>
      <c r="C35" s="21" t="s">
        <v>475</v>
      </c>
      <c r="D35" s="21" t="s">
        <v>472</v>
      </c>
    </row>
    <row r="36" customFormat="false" ht="15" hidden="false" customHeight="false" outlineLevel="0" collapsed="false">
      <c r="A36" s="8" t="s">
        <v>476</v>
      </c>
      <c r="B36" s="22" t="s">
        <v>477</v>
      </c>
      <c r="C36" s="22" t="s">
        <v>478</v>
      </c>
      <c r="D36" s="22" t="s">
        <v>472</v>
      </c>
    </row>
    <row r="37" customFormat="false" ht="15" hidden="false" customHeight="false" outlineLevel="0" collapsed="false">
      <c r="A37" s="5" t="s">
        <v>479</v>
      </c>
      <c r="B37" s="21" t="s">
        <v>480</v>
      </c>
      <c r="C37" s="21" t="s">
        <v>73</v>
      </c>
      <c r="D37" s="21" t="s">
        <v>472</v>
      </c>
    </row>
    <row r="38" customFormat="false" ht="15" hidden="false" customHeight="false" outlineLevel="0" collapsed="false">
      <c r="A38" s="8" t="s">
        <v>481</v>
      </c>
      <c r="B38" s="22" t="s">
        <v>482</v>
      </c>
      <c r="C38" s="22" t="s">
        <v>483</v>
      </c>
      <c r="D38" s="22" t="s">
        <v>461</v>
      </c>
    </row>
    <row r="39" customFormat="false" ht="23.85" hidden="false" customHeight="false" outlineLevel="0" collapsed="false">
      <c r="A39" s="5" t="s">
        <v>484</v>
      </c>
      <c r="B39" s="21" t="s">
        <v>485</v>
      </c>
      <c r="C39" s="21" t="s">
        <v>486</v>
      </c>
      <c r="D39" s="21" t="s">
        <v>487</v>
      </c>
    </row>
    <row r="40" customFormat="false" ht="23.85" hidden="false" customHeight="false" outlineLevel="0" collapsed="false">
      <c r="A40" s="8" t="s">
        <v>488</v>
      </c>
      <c r="B40" s="22" t="s">
        <v>489</v>
      </c>
      <c r="C40" s="22" t="s">
        <v>490</v>
      </c>
      <c r="D40" s="22" t="s">
        <v>487</v>
      </c>
    </row>
    <row r="42" customFormat="false" ht="18" hidden="false" customHeight="true" outlineLevel="0" collapsed="false">
      <c r="A42" s="3" t="s">
        <v>491</v>
      </c>
      <c r="B42" s="3"/>
      <c r="C42" s="3"/>
      <c r="D42" s="3"/>
    </row>
    <row r="43" customFormat="false" ht="30" hidden="false" customHeight="true" outlineLevel="0" collapsed="false">
      <c r="A43" s="4" t="s">
        <v>492</v>
      </c>
      <c r="B43" s="4" t="s">
        <v>493</v>
      </c>
      <c r="C43" s="4" t="s">
        <v>494</v>
      </c>
      <c r="D43" s="4" t="s">
        <v>495</v>
      </c>
    </row>
    <row r="44" customFormat="false" ht="15" hidden="false" customHeight="false" outlineLevel="0" collapsed="false">
      <c r="A44" s="8" t="s">
        <v>496</v>
      </c>
      <c r="B44" s="20" t="s">
        <v>497</v>
      </c>
      <c r="C44" s="25"/>
      <c r="D44" s="22" t="s">
        <v>498</v>
      </c>
    </row>
    <row r="45" customFormat="false" ht="15" hidden="false" customHeight="false" outlineLevel="0" collapsed="false">
      <c r="A45" s="8" t="s">
        <v>499</v>
      </c>
      <c r="B45" s="20" t="s">
        <v>500</v>
      </c>
      <c r="C45" s="26"/>
      <c r="D45" s="22" t="s">
        <v>501</v>
      </c>
    </row>
    <row r="46" customFormat="false" ht="15" hidden="false" customHeight="false" outlineLevel="0" collapsed="false">
      <c r="A46" s="8" t="s">
        <v>502</v>
      </c>
      <c r="B46" s="20" t="s">
        <v>503</v>
      </c>
      <c r="C46" s="27"/>
      <c r="D46" s="22" t="s">
        <v>504</v>
      </c>
    </row>
    <row r="47" customFormat="false" ht="15" hidden="false" customHeight="false" outlineLevel="0" collapsed="false">
      <c r="A47" s="8" t="s">
        <v>505</v>
      </c>
      <c r="B47" s="20" t="s">
        <v>506</v>
      </c>
      <c r="C47" s="28"/>
      <c r="D47" s="22" t="s">
        <v>507</v>
      </c>
    </row>
    <row r="48" customFormat="false" ht="15" hidden="false" customHeight="false" outlineLevel="0" collapsed="false">
      <c r="A48" s="8" t="s">
        <v>508</v>
      </c>
      <c r="B48" s="20" t="s">
        <v>509</v>
      </c>
      <c r="C48" s="29"/>
      <c r="D48" s="22" t="s">
        <v>510</v>
      </c>
    </row>
    <row r="49" customFormat="false" ht="23.85" hidden="false" customHeight="false" outlineLevel="0" collapsed="false">
      <c r="A49" s="8" t="s">
        <v>511</v>
      </c>
      <c r="B49" s="20" t="s">
        <v>512</v>
      </c>
      <c r="C49" s="30"/>
      <c r="D49" s="22" t="s">
        <v>513</v>
      </c>
    </row>
    <row r="50" customFormat="false" ht="15" hidden="false" customHeight="false" outlineLevel="0" collapsed="false">
      <c r="A50" s="8" t="s">
        <v>514</v>
      </c>
      <c r="B50" s="20" t="s">
        <v>515</v>
      </c>
      <c r="C50" s="31"/>
      <c r="D50" s="22" t="s">
        <v>516</v>
      </c>
    </row>
    <row r="51" customFormat="false" ht="15" hidden="false" customHeight="false" outlineLevel="0" collapsed="false">
      <c r="A51" s="8" t="s">
        <v>517</v>
      </c>
      <c r="B51" s="20" t="s">
        <v>518</v>
      </c>
      <c r="C51" s="32"/>
      <c r="D51" s="22" t="s">
        <v>519</v>
      </c>
    </row>
    <row r="52" customFormat="false" ht="23.85" hidden="false" customHeight="false" outlineLevel="0" collapsed="false">
      <c r="A52" s="8" t="s">
        <v>520</v>
      </c>
      <c r="B52" s="20" t="s">
        <v>521</v>
      </c>
      <c r="C52" s="33"/>
      <c r="D52" s="22" t="s">
        <v>522</v>
      </c>
    </row>
    <row r="53" customFormat="false" ht="15" hidden="false" customHeight="false" outlineLevel="0" collapsed="false">
      <c r="A53" s="8" t="s">
        <v>523</v>
      </c>
      <c r="B53" s="20" t="s">
        <v>524</v>
      </c>
      <c r="C53" s="34"/>
      <c r="D53" s="22" t="s">
        <v>525</v>
      </c>
    </row>
    <row r="54" customFormat="false" ht="15" hidden="false" customHeight="false" outlineLevel="0" collapsed="false">
      <c r="A54" s="8" t="s">
        <v>526</v>
      </c>
      <c r="B54" s="20" t="s">
        <v>527</v>
      </c>
      <c r="C54" s="35"/>
      <c r="D54" s="22" t="s">
        <v>528</v>
      </c>
    </row>
    <row r="55" customFormat="false" ht="15" hidden="false" customHeight="false" outlineLevel="0" collapsed="false">
      <c r="A55" s="8" t="s">
        <v>529</v>
      </c>
      <c r="B55" s="20" t="s">
        <v>530</v>
      </c>
      <c r="C55" s="36"/>
      <c r="D55" s="22" t="s">
        <v>531</v>
      </c>
    </row>
    <row r="56" customFormat="false" ht="23.85" hidden="false" customHeight="false" outlineLevel="0" collapsed="false">
      <c r="A56" s="8" t="s">
        <v>532</v>
      </c>
      <c r="B56" s="20" t="s">
        <v>533</v>
      </c>
      <c r="C56" s="37"/>
      <c r="D56" s="22" t="s">
        <v>534</v>
      </c>
    </row>
    <row r="57" customFormat="false" ht="15" hidden="false" customHeight="false" outlineLevel="0" collapsed="false">
      <c r="A57" s="8" t="s">
        <v>535</v>
      </c>
      <c r="B57" s="20" t="s">
        <v>536</v>
      </c>
      <c r="C57" s="38"/>
      <c r="D57" s="22" t="s">
        <v>537</v>
      </c>
    </row>
    <row r="58" customFormat="false" ht="15" hidden="false" customHeight="false" outlineLevel="0" collapsed="false">
      <c r="A58" s="8" t="s">
        <v>538</v>
      </c>
      <c r="B58" s="20" t="s">
        <v>539</v>
      </c>
      <c r="C58" s="39"/>
      <c r="D58" s="22" t="s">
        <v>540</v>
      </c>
    </row>
    <row r="59" customFormat="false" ht="23.85" hidden="false" customHeight="false" outlineLevel="0" collapsed="false">
      <c r="A59" s="8" t="s">
        <v>541</v>
      </c>
      <c r="B59" s="20" t="s">
        <v>542</v>
      </c>
      <c r="C59" s="40"/>
      <c r="D59" s="22" t="s">
        <v>543</v>
      </c>
    </row>
    <row r="60" customFormat="false" ht="15" hidden="false" customHeight="false" outlineLevel="0" collapsed="false">
      <c r="A60" s="8" t="s">
        <v>544</v>
      </c>
      <c r="B60" s="20" t="s">
        <v>545</v>
      </c>
      <c r="C60" s="41"/>
      <c r="D60" s="22" t="s">
        <v>546</v>
      </c>
    </row>
  </sheetData>
  <mergeCells count="12">
    <mergeCell ref="A1:D1"/>
    <mergeCell ref="A2:D2"/>
    <mergeCell ref="A4:D4"/>
    <mergeCell ref="A5:D5"/>
    <mergeCell ref="A6:D6"/>
    <mergeCell ref="A7:D7"/>
    <mergeCell ref="A8:D8"/>
    <mergeCell ref="A9:D9"/>
    <mergeCell ref="A10:D10"/>
    <mergeCell ref="A12:D12"/>
    <mergeCell ref="A29:D29"/>
    <mergeCell ref="A42:D42"/>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Art Asset List</oddHeader>
    <oddFooter>&amp;LYellow cells with blue text are yours to fill in. Black text is a formula or fixed spec.&amp;RPage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70"/>
    <col collapsed="false" customWidth="true" hidden="false" outlineLevel="0" max="4" min="4" style="0" width="34"/>
    <col collapsed="false" customWidth="true" hidden="false" outlineLevel="0" max="5" min="5" style="0" width="28"/>
  </cols>
  <sheetData>
    <row r="1" customFormat="false" ht="31.5" hidden="false" customHeight="true" outlineLevel="0" collapsed="false">
      <c r="A1" s="1" t="s">
        <v>0</v>
      </c>
      <c r="B1" s="1"/>
      <c r="C1" s="1"/>
      <c r="D1" s="1"/>
      <c r="E1" s="1"/>
    </row>
    <row r="2" customFormat="false" ht="19.5" hidden="false" customHeight="true" outlineLevel="0" collapsed="false">
      <c r="A2" s="2" t="s">
        <v>547</v>
      </c>
      <c r="B2" s="2"/>
      <c r="C2" s="2"/>
      <c r="D2" s="2"/>
      <c r="E2" s="2"/>
    </row>
    <row r="4" customFormat="false" ht="30" hidden="false" customHeight="true" outlineLevel="0" collapsed="false">
      <c r="A4" s="4" t="s">
        <v>548</v>
      </c>
      <c r="B4" s="4" t="s">
        <v>549</v>
      </c>
      <c r="C4" s="4" t="s">
        <v>550</v>
      </c>
      <c r="D4" s="4" t="s">
        <v>551</v>
      </c>
      <c r="E4" s="4" t="s">
        <v>552</v>
      </c>
    </row>
    <row r="5" customFormat="false" ht="75" hidden="false" customHeight="true" outlineLevel="0" collapsed="false">
      <c r="A5" s="5" t="s">
        <v>553</v>
      </c>
      <c r="B5" s="21" t="s">
        <v>554</v>
      </c>
      <c r="C5" s="21" t="s">
        <v>555</v>
      </c>
      <c r="D5" s="21" t="s">
        <v>556</v>
      </c>
      <c r="E5" s="21" t="s">
        <v>557</v>
      </c>
    </row>
    <row r="6" customFormat="false" ht="75" hidden="false" customHeight="true" outlineLevel="0" collapsed="false">
      <c r="A6" s="8" t="s">
        <v>558</v>
      </c>
      <c r="B6" s="22" t="s">
        <v>559</v>
      </c>
      <c r="C6" s="22" t="s">
        <v>560</v>
      </c>
      <c r="D6" s="22" t="s">
        <v>561</v>
      </c>
      <c r="E6" s="22" t="s">
        <v>562</v>
      </c>
    </row>
    <row r="7" customFormat="false" ht="75" hidden="false" customHeight="true" outlineLevel="0" collapsed="false">
      <c r="A7" s="5" t="s">
        <v>563</v>
      </c>
      <c r="B7" s="21" t="s">
        <v>564</v>
      </c>
      <c r="C7" s="21" t="s">
        <v>565</v>
      </c>
      <c r="D7" s="21" t="s">
        <v>566</v>
      </c>
      <c r="E7" s="21" t="s">
        <v>60</v>
      </c>
    </row>
    <row r="8" customFormat="false" ht="75" hidden="false" customHeight="true" outlineLevel="0" collapsed="false">
      <c r="A8" s="8" t="s">
        <v>567</v>
      </c>
      <c r="B8" s="22" t="s">
        <v>568</v>
      </c>
      <c r="C8" s="22" t="s">
        <v>569</v>
      </c>
      <c r="D8" s="22" t="s">
        <v>570</v>
      </c>
      <c r="E8" s="22" t="s">
        <v>571</v>
      </c>
    </row>
    <row r="9" customFormat="false" ht="75" hidden="false" customHeight="true" outlineLevel="0" collapsed="false">
      <c r="A9" s="5" t="s">
        <v>572</v>
      </c>
      <c r="B9" s="21" t="s">
        <v>573</v>
      </c>
      <c r="C9" s="21" t="s">
        <v>574</v>
      </c>
      <c r="D9" s="21" t="s">
        <v>575</v>
      </c>
      <c r="E9" s="21" t="s">
        <v>62</v>
      </c>
    </row>
    <row r="10" customFormat="false" ht="75" hidden="false" customHeight="true" outlineLevel="0" collapsed="false">
      <c r="A10" s="8" t="s">
        <v>576</v>
      </c>
      <c r="B10" s="22" t="s">
        <v>577</v>
      </c>
      <c r="C10" s="22" t="s">
        <v>578</v>
      </c>
      <c r="D10" s="22" t="s">
        <v>579</v>
      </c>
      <c r="E10" s="22" t="s">
        <v>580</v>
      </c>
    </row>
    <row r="11" customFormat="false" ht="75" hidden="false" customHeight="true" outlineLevel="0" collapsed="false">
      <c r="A11" s="5" t="s">
        <v>581</v>
      </c>
      <c r="B11" s="21" t="s">
        <v>582</v>
      </c>
      <c r="C11" s="21" t="s">
        <v>583</v>
      </c>
      <c r="D11" s="21" t="s">
        <v>584</v>
      </c>
      <c r="E11" s="21" t="s">
        <v>66</v>
      </c>
    </row>
    <row r="12" customFormat="false" ht="75" hidden="false" customHeight="true" outlineLevel="0" collapsed="false">
      <c r="A12" s="8" t="s">
        <v>585</v>
      </c>
      <c r="B12" s="22" t="s">
        <v>586</v>
      </c>
      <c r="C12" s="22" t="s">
        <v>587</v>
      </c>
      <c r="D12" s="22" t="s">
        <v>588</v>
      </c>
      <c r="E12" s="22" t="s">
        <v>68</v>
      </c>
    </row>
    <row r="13" customFormat="false" ht="75" hidden="false" customHeight="true" outlineLevel="0" collapsed="false">
      <c r="A13" s="5" t="s">
        <v>589</v>
      </c>
      <c r="B13" s="21" t="s">
        <v>590</v>
      </c>
      <c r="C13" s="21" t="s">
        <v>591</v>
      </c>
      <c r="D13" s="21" t="s">
        <v>592</v>
      </c>
      <c r="E13" s="21" t="s">
        <v>593</v>
      </c>
    </row>
    <row r="14" customFormat="false" ht="75" hidden="false" customHeight="true" outlineLevel="0" collapsed="false">
      <c r="A14" s="8" t="s">
        <v>594</v>
      </c>
      <c r="B14" s="22" t="s">
        <v>595</v>
      </c>
      <c r="C14" s="22" t="s">
        <v>596</v>
      </c>
      <c r="D14" s="22" t="s">
        <v>597</v>
      </c>
      <c r="E14" s="22" t="s">
        <v>68</v>
      </c>
    </row>
    <row r="15" customFormat="false" ht="75" hidden="false" customHeight="true" outlineLevel="0" collapsed="false">
      <c r="A15" s="5" t="s">
        <v>69</v>
      </c>
      <c r="B15" s="21" t="s">
        <v>598</v>
      </c>
      <c r="C15" s="21" t="s">
        <v>599</v>
      </c>
      <c r="D15" s="21" t="s">
        <v>600</v>
      </c>
      <c r="E15" s="21" t="s">
        <v>70</v>
      </c>
    </row>
    <row r="16" customFormat="false" ht="75" hidden="false" customHeight="true" outlineLevel="0" collapsed="false">
      <c r="A16" s="8" t="s">
        <v>601</v>
      </c>
      <c r="B16" s="22" t="s">
        <v>602</v>
      </c>
      <c r="C16" s="22" t="s">
        <v>603</v>
      </c>
      <c r="D16" s="22" t="s">
        <v>604</v>
      </c>
      <c r="E16" s="22" t="s">
        <v>605</v>
      </c>
    </row>
    <row r="17" customFormat="false" ht="75" hidden="false" customHeight="true" outlineLevel="0" collapsed="false">
      <c r="A17" s="5" t="s">
        <v>606</v>
      </c>
      <c r="B17" s="21" t="s">
        <v>607</v>
      </c>
      <c r="C17" s="21" t="s">
        <v>608</v>
      </c>
      <c r="D17" s="21" t="s">
        <v>609</v>
      </c>
      <c r="E17" s="21" t="s">
        <v>610</v>
      </c>
    </row>
    <row r="18" customFormat="false" ht="75" hidden="false" customHeight="true" outlineLevel="0" collapsed="false">
      <c r="A18" s="8" t="s">
        <v>79</v>
      </c>
      <c r="B18" s="22" t="s">
        <v>611</v>
      </c>
      <c r="C18" s="22" t="s">
        <v>612</v>
      </c>
      <c r="D18" s="22" t="s">
        <v>613</v>
      </c>
      <c r="E18" s="22" t="s">
        <v>80</v>
      </c>
    </row>
    <row r="19" customFormat="false" ht="75" hidden="false" customHeight="true" outlineLevel="0" collapsed="false">
      <c r="A19" s="5" t="s">
        <v>614</v>
      </c>
      <c r="B19" s="21" t="s">
        <v>615</v>
      </c>
      <c r="C19" s="21" t="s">
        <v>616</v>
      </c>
      <c r="D19" s="21" t="s">
        <v>617</v>
      </c>
      <c r="E19" s="21" t="s">
        <v>82</v>
      </c>
    </row>
    <row r="20" customFormat="false" ht="75" hidden="false" customHeight="true" outlineLevel="0" collapsed="false">
      <c r="A20" s="8" t="s">
        <v>86</v>
      </c>
      <c r="B20" s="22" t="s">
        <v>618</v>
      </c>
      <c r="C20" s="22" t="s">
        <v>619</v>
      </c>
      <c r="D20" s="22" t="s">
        <v>620</v>
      </c>
      <c r="E20" s="22" t="s">
        <v>621</v>
      </c>
    </row>
    <row r="21" customFormat="false" ht="75" hidden="false" customHeight="true" outlineLevel="0" collapsed="false">
      <c r="A21" s="5" t="s">
        <v>622</v>
      </c>
      <c r="B21" s="21" t="s">
        <v>623</v>
      </c>
      <c r="C21" s="21" t="s">
        <v>624</v>
      </c>
      <c r="D21" s="21" t="s">
        <v>625</v>
      </c>
      <c r="E21" s="21" t="s">
        <v>626</v>
      </c>
    </row>
  </sheetData>
  <mergeCells count="2">
    <mergeCell ref="A1:E1"/>
    <mergeCell ref="A2:E2"/>
  </mergeCell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Art Asset List</oddHeader>
    <oddFooter>&amp;LYellow cells with blue text are yours to fill in. Black text is a formula or fixed spec.&amp;RPage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30"/>
    <col collapsed="false" customWidth="true" hidden="false" outlineLevel="0" max="4" min="4" style="0" width="64"/>
    <col collapsed="false" customWidth="true" hidden="false" outlineLevel="0" max="5" min="5" style="0" width="20"/>
    <col collapsed="false" customWidth="true" hidden="false" outlineLevel="0" max="6" min="6" style="0" width="18"/>
    <col collapsed="false" customWidth="true" hidden="false" outlineLevel="0" max="7" min="7" style="0" width="20"/>
    <col collapsed="false" customWidth="true" hidden="false" outlineLevel="0" max="8" min="8" style="0" width="22"/>
    <col collapsed="false" customWidth="true" hidden="false" outlineLevel="0" max="10" min="9" style="0" width="44"/>
    <col collapsed="false" customWidth="true" hidden="false" outlineLevel="0" max="11" min="11" style="0" width="15"/>
    <col collapsed="false" customWidth="true" hidden="false" outlineLevel="0" max="13" min="12" style="0" width="10"/>
    <col collapsed="false" customWidth="true" hidden="false" outlineLevel="0" max="14" min="14" style="0" width="11"/>
    <col collapsed="false" customWidth="true" hidden="false" outlineLevel="0" max="15" min="15" style="0" width="9"/>
    <col collapsed="false" customWidth="true" hidden="false" outlineLevel="0" max="16" min="16" style="0" width="14"/>
    <col collapsed="false" customWidth="true" hidden="false" outlineLevel="0" max="17" min="17" style="0" width="30"/>
  </cols>
  <sheetData>
    <row r="1" customFormat="false" ht="31.5" hidden="false" customHeight="true" outlineLevel="0" collapsed="false">
      <c r="A1" s="1" t="s">
        <v>0</v>
      </c>
      <c r="B1" s="1"/>
      <c r="C1" s="1"/>
      <c r="D1" s="1"/>
      <c r="E1" s="1"/>
      <c r="F1" s="1"/>
      <c r="G1" s="1"/>
      <c r="H1" s="1"/>
      <c r="I1" s="1"/>
      <c r="J1" s="1"/>
      <c r="K1" s="1"/>
      <c r="L1" s="1"/>
      <c r="M1" s="1"/>
      <c r="N1" s="1"/>
      <c r="O1" s="1"/>
      <c r="P1" s="1"/>
      <c r="Q1" s="1"/>
    </row>
    <row r="2" customFormat="false" ht="19.5" hidden="false" customHeight="true" outlineLevel="0" collapsed="false">
      <c r="A2" s="2" t="s">
        <v>627</v>
      </c>
      <c r="B2" s="2"/>
      <c r="C2" s="2"/>
      <c r="D2" s="2"/>
      <c r="E2" s="2"/>
      <c r="F2" s="2"/>
      <c r="G2" s="2"/>
      <c r="H2" s="2"/>
      <c r="I2" s="2"/>
      <c r="J2" s="2"/>
      <c r="K2" s="2"/>
      <c r="L2" s="2"/>
      <c r="M2" s="2"/>
      <c r="N2" s="2"/>
      <c r="O2" s="2"/>
      <c r="P2" s="2"/>
      <c r="Q2" s="2"/>
    </row>
    <row r="4" customFormat="false" ht="30" hidden="false" customHeight="true" outlineLevel="0" collapsed="false">
      <c r="A4" s="4" t="s">
        <v>109</v>
      </c>
      <c r="B4" s="4" t="s">
        <v>43</v>
      </c>
      <c r="C4" s="4" t="s">
        <v>110</v>
      </c>
      <c r="D4" s="4" t="s">
        <v>628</v>
      </c>
      <c r="E4" s="4" t="s">
        <v>629</v>
      </c>
      <c r="F4" s="4" t="s">
        <v>630</v>
      </c>
      <c r="G4" s="4" t="s">
        <v>631</v>
      </c>
      <c r="H4" s="4" t="s">
        <v>632</v>
      </c>
      <c r="I4" s="4" t="s">
        <v>633</v>
      </c>
      <c r="J4" s="4" t="s">
        <v>634</v>
      </c>
      <c r="K4" s="4" t="s">
        <v>635</v>
      </c>
      <c r="L4" s="4" t="s">
        <v>112</v>
      </c>
      <c r="M4" s="4" t="s">
        <v>636</v>
      </c>
      <c r="N4" s="4" t="s">
        <v>637</v>
      </c>
      <c r="O4" s="4" t="s">
        <v>638</v>
      </c>
      <c r="P4" s="4" t="s">
        <v>100</v>
      </c>
      <c r="Q4" s="4" t="s">
        <v>639</v>
      </c>
    </row>
    <row r="5" customFormat="false" ht="75" hidden="false" customHeight="true" outlineLevel="0" collapsed="false">
      <c r="A5" s="19" t="s">
        <v>114</v>
      </c>
      <c r="B5" s="21" t="s">
        <v>45</v>
      </c>
      <c r="C5" s="5" t="s">
        <v>115</v>
      </c>
      <c r="D5" s="21" t="s">
        <v>640</v>
      </c>
      <c r="E5" s="21" t="s">
        <v>553</v>
      </c>
      <c r="F5" s="21" t="s">
        <v>641</v>
      </c>
      <c r="G5" s="21" t="s">
        <v>116</v>
      </c>
      <c r="H5" s="21" t="s">
        <v>642</v>
      </c>
      <c r="I5" s="42" t="s">
        <v>643</v>
      </c>
      <c r="J5" s="43" t="s">
        <v>644</v>
      </c>
      <c r="K5" s="19" t="s">
        <v>11</v>
      </c>
      <c r="L5" s="44" t="s">
        <v>5</v>
      </c>
      <c r="M5" s="19" t="s">
        <v>645</v>
      </c>
      <c r="N5" s="19" t="s">
        <v>646</v>
      </c>
      <c r="O5" s="19" t="n">
        <v>10</v>
      </c>
      <c r="P5" s="45" t="s">
        <v>101</v>
      </c>
      <c r="Q5" s="46"/>
    </row>
    <row r="6" customFormat="false" ht="45" hidden="false" customHeight="true" outlineLevel="0" collapsed="false">
      <c r="A6" s="20" t="s">
        <v>118</v>
      </c>
      <c r="B6" s="22" t="s">
        <v>45</v>
      </c>
      <c r="C6" s="8" t="s">
        <v>119</v>
      </c>
      <c r="D6" s="22" t="s">
        <v>647</v>
      </c>
      <c r="E6" s="22" t="s">
        <v>601</v>
      </c>
      <c r="F6" s="22" t="s">
        <v>641</v>
      </c>
      <c r="G6" s="22" t="s">
        <v>116</v>
      </c>
      <c r="H6" s="22" t="s">
        <v>642</v>
      </c>
      <c r="I6" s="47" t="s">
        <v>648</v>
      </c>
      <c r="J6" s="48" t="s">
        <v>649</v>
      </c>
      <c r="K6" s="20" t="s">
        <v>11</v>
      </c>
      <c r="L6" s="49" t="s">
        <v>5</v>
      </c>
      <c r="M6" s="20" t="s">
        <v>645</v>
      </c>
      <c r="N6" s="20" t="s">
        <v>646</v>
      </c>
      <c r="O6" s="20" t="n">
        <v>10</v>
      </c>
      <c r="P6" s="45" t="s">
        <v>101</v>
      </c>
      <c r="Q6" s="46"/>
    </row>
    <row r="7" customFormat="false" ht="45" hidden="false" customHeight="true" outlineLevel="0" collapsed="false">
      <c r="A7" s="19" t="s">
        <v>120</v>
      </c>
      <c r="B7" s="21" t="s">
        <v>45</v>
      </c>
      <c r="C7" s="5" t="s">
        <v>121</v>
      </c>
      <c r="D7" s="21" t="s">
        <v>650</v>
      </c>
      <c r="E7" s="21" t="s">
        <v>651</v>
      </c>
      <c r="F7" s="21" t="s">
        <v>641</v>
      </c>
      <c r="G7" s="21" t="s">
        <v>116</v>
      </c>
      <c r="H7" s="21" t="s">
        <v>642</v>
      </c>
      <c r="I7" s="42" t="s">
        <v>652</v>
      </c>
      <c r="J7" s="43" t="s">
        <v>653</v>
      </c>
      <c r="K7" s="19" t="s">
        <v>11</v>
      </c>
      <c r="L7" s="44" t="s">
        <v>5</v>
      </c>
      <c r="M7" s="19" t="s">
        <v>645</v>
      </c>
      <c r="N7" s="19" t="s">
        <v>646</v>
      </c>
      <c r="O7" s="19" t="n">
        <v>6</v>
      </c>
      <c r="P7" s="45" t="s">
        <v>101</v>
      </c>
      <c r="Q7" s="46"/>
    </row>
    <row r="8" customFormat="false" ht="60" hidden="false" customHeight="true" outlineLevel="0" collapsed="false">
      <c r="A8" s="20" t="s">
        <v>122</v>
      </c>
      <c r="B8" s="22" t="s">
        <v>45</v>
      </c>
      <c r="C8" s="8" t="s">
        <v>123</v>
      </c>
      <c r="D8" s="22" t="s">
        <v>654</v>
      </c>
      <c r="E8" s="22" t="s">
        <v>651</v>
      </c>
      <c r="F8" s="22" t="s">
        <v>655</v>
      </c>
      <c r="G8" s="22" t="s">
        <v>124</v>
      </c>
      <c r="H8" s="22" t="s">
        <v>642</v>
      </c>
      <c r="I8" s="47" t="s">
        <v>656</v>
      </c>
      <c r="J8" s="48" t="s">
        <v>657</v>
      </c>
      <c r="K8" s="20" t="s">
        <v>11</v>
      </c>
      <c r="L8" s="49" t="s">
        <v>5</v>
      </c>
      <c r="M8" s="20" t="s">
        <v>645</v>
      </c>
      <c r="N8" s="20" t="s">
        <v>646</v>
      </c>
      <c r="O8" s="20" t="n">
        <v>2</v>
      </c>
      <c r="P8" s="45" t="s">
        <v>101</v>
      </c>
      <c r="Q8" s="46"/>
    </row>
    <row r="9" customFormat="false" ht="60" hidden="false" customHeight="true" outlineLevel="0" collapsed="false">
      <c r="A9" s="19" t="s">
        <v>125</v>
      </c>
      <c r="B9" s="21" t="s">
        <v>45</v>
      </c>
      <c r="C9" s="5" t="s">
        <v>126</v>
      </c>
      <c r="D9" s="21" t="s">
        <v>658</v>
      </c>
      <c r="E9" s="21" t="s">
        <v>651</v>
      </c>
      <c r="F9" s="21" t="s">
        <v>655</v>
      </c>
      <c r="G9" s="21" t="s">
        <v>116</v>
      </c>
      <c r="H9" s="21" t="s">
        <v>642</v>
      </c>
      <c r="I9" s="42" t="s">
        <v>659</v>
      </c>
      <c r="J9" s="43" t="s">
        <v>660</v>
      </c>
      <c r="K9" s="19" t="s">
        <v>11</v>
      </c>
      <c r="L9" s="44" t="s">
        <v>5</v>
      </c>
      <c r="M9" s="19" t="s">
        <v>645</v>
      </c>
      <c r="N9" s="19" t="s">
        <v>646</v>
      </c>
      <c r="O9" s="19" t="n">
        <v>4</v>
      </c>
      <c r="P9" s="45" t="s">
        <v>101</v>
      </c>
      <c r="Q9" s="46"/>
    </row>
    <row r="10" customFormat="false" ht="60" hidden="false" customHeight="true" outlineLevel="0" collapsed="false">
      <c r="A10" s="20" t="s">
        <v>127</v>
      </c>
      <c r="B10" s="22" t="s">
        <v>45</v>
      </c>
      <c r="C10" s="8" t="s">
        <v>128</v>
      </c>
      <c r="D10" s="22" t="s">
        <v>661</v>
      </c>
      <c r="E10" s="22" t="s">
        <v>651</v>
      </c>
      <c r="F10" s="22" t="s">
        <v>655</v>
      </c>
      <c r="G10" s="22" t="s">
        <v>116</v>
      </c>
      <c r="H10" s="22" t="s">
        <v>662</v>
      </c>
      <c r="I10" s="47" t="s">
        <v>663</v>
      </c>
      <c r="J10" s="48" t="s">
        <v>664</v>
      </c>
      <c r="K10" s="20" t="s">
        <v>11</v>
      </c>
      <c r="L10" s="49" t="s">
        <v>129</v>
      </c>
      <c r="M10" s="20" t="s">
        <v>645</v>
      </c>
      <c r="N10" s="20" t="s">
        <v>646</v>
      </c>
      <c r="O10" s="20" t="n">
        <v>1</v>
      </c>
      <c r="P10" s="45" t="s">
        <v>101</v>
      </c>
      <c r="Q10" s="46"/>
    </row>
    <row r="11" customFormat="false" ht="45" hidden="false" customHeight="true" outlineLevel="0" collapsed="false">
      <c r="A11" s="19" t="s">
        <v>130</v>
      </c>
      <c r="B11" s="21" t="s">
        <v>47</v>
      </c>
      <c r="C11" s="5" t="s">
        <v>131</v>
      </c>
      <c r="D11" s="21" t="s">
        <v>665</v>
      </c>
      <c r="E11" s="21" t="s">
        <v>553</v>
      </c>
      <c r="F11" s="21" t="s">
        <v>666</v>
      </c>
      <c r="G11" s="21" t="s">
        <v>667</v>
      </c>
      <c r="H11" s="21" t="s">
        <v>642</v>
      </c>
      <c r="I11" s="42" t="s">
        <v>668</v>
      </c>
      <c r="J11" s="43" t="s">
        <v>669</v>
      </c>
      <c r="K11" s="19" t="s">
        <v>13</v>
      </c>
      <c r="L11" s="44" t="s">
        <v>5</v>
      </c>
      <c r="M11" s="19" t="s">
        <v>670</v>
      </c>
      <c r="N11" s="19" t="s">
        <v>671</v>
      </c>
      <c r="O11" s="19" t="n">
        <v>5</v>
      </c>
      <c r="P11" s="45" t="s">
        <v>101</v>
      </c>
      <c r="Q11" s="46"/>
    </row>
    <row r="12" customFormat="false" ht="45" hidden="false" customHeight="true" outlineLevel="0" collapsed="false">
      <c r="A12" s="20" t="s">
        <v>672</v>
      </c>
      <c r="B12" s="22" t="s">
        <v>47</v>
      </c>
      <c r="C12" s="8" t="s">
        <v>673</v>
      </c>
      <c r="D12" s="22" t="s">
        <v>674</v>
      </c>
      <c r="E12" s="22" t="s">
        <v>553</v>
      </c>
      <c r="F12" s="22" t="s">
        <v>666</v>
      </c>
      <c r="G12" s="22" t="s">
        <v>667</v>
      </c>
      <c r="H12" s="22" t="s">
        <v>642</v>
      </c>
      <c r="I12" s="47" t="s">
        <v>675</v>
      </c>
      <c r="J12" s="48" t="s">
        <v>676</v>
      </c>
      <c r="K12" s="20" t="s">
        <v>15</v>
      </c>
      <c r="L12" s="49" t="s">
        <v>5</v>
      </c>
      <c r="M12" s="20" t="s">
        <v>677</v>
      </c>
      <c r="N12" s="20" t="s">
        <v>671</v>
      </c>
      <c r="O12" s="20" t="n">
        <v>4</v>
      </c>
      <c r="P12" s="45" t="s">
        <v>101</v>
      </c>
      <c r="Q12" s="46"/>
    </row>
    <row r="13" customFormat="false" ht="45" hidden="false" customHeight="true" outlineLevel="0" collapsed="false">
      <c r="A13" s="19" t="s">
        <v>133</v>
      </c>
      <c r="B13" s="21" t="s">
        <v>47</v>
      </c>
      <c r="C13" s="5" t="s">
        <v>134</v>
      </c>
      <c r="D13" s="21" t="s">
        <v>678</v>
      </c>
      <c r="E13" s="21" t="s">
        <v>553</v>
      </c>
      <c r="F13" s="21" t="s">
        <v>666</v>
      </c>
      <c r="G13" s="21" t="s">
        <v>667</v>
      </c>
      <c r="H13" s="21" t="s">
        <v>642</v>
      </c>
      <c r="I13" s="42" t="s">
        <v>679</v>
      </c>
      <c r="J13" s="43" t="s">
        <v>680</v>
      </c>
      <c r="K13" s="19" t="s">
        <v>13</v>
      </c>
      <c r="L13" s="44" t="s">
        <v>5</v>
      </c>
      <c r="M13" s="19" t="s">
        <v>677</v>
      </c>
      <c r="N13" s="19" t="s">
        <v>671</v>
      </c>
      <c r="O13" s="19" t="n">
        <v>4</v>
      </c>
      <c r="P13" s="45" t="s">
        <v>101</v>
      </c>
      <c r="Q13" s="46"/>
    </row>
    <row r="14" customFormat="false" ht="45" hidden="false" customHeight="true" outlineLevel="0" collapsed="false">
      <c r="A14" s="20" t="s">
        <v>681</v>
      </c>
      <c r="B14" s="22" t="s">
        <v>47</v>
      </c>
      <c r="C14" s="8" t="s">
        <v>682</v>
      </c>
      <c r="D14" s="22" t="s">
        <v>683</v>
      </c>
      <c r="E14" s="22" t="s">
        <v>553</v>
      </c>
      <c r="F14" s="22" t="s">
        <v>666</v>
      </c>
      <c r="G14" s="22" t="s">
        <v>667</v>
      </c>
      <c r="H14" s="22" t="s">
        <v>642</v>
      </c>
      <c r="I14" s="47" t="s">
        <v>675</v>
      </c>
      <c r="J14" s="48" t="s">
        <v>684</v>
      </c>
      <c r="K14" s="20" t="s">
        <v>15</v>
      </c>
      <c r="L14" s="49" t="s">
        <v>5</v>
      </c>
      <c r="M14" s="20" t="s">
        <v>677</v>
      </c>
      <c r="N14" s="20" t="s">
        <v>671</v>
      </c>
      <c r="O14" s="20" t="n">
        <v>4</v>
      </c>
      <c r="P14" s="45" t="s">
        <v>101</v>
      </c>
      <c r="Q14" s="46"/>
    </row>
    <row r="15" customFormat="false" ht="45" hidden="false" customHeight="true" outlineLevel="0" collapsed="false">
      <c r="A15" s="19" t="s">
        <v>685</v>
      </c>
      <c r="B15" s="21" t="s">
        <v>47</v>
      </c>
      <c r="C15" s="5" t="s">
        <v>686</v>
      </c>
      <c r="D15" s="21" t="s">
        <v>687</v>
      </c>
      <c r="E15" s="21" t="s">
        <v>553</v>
      </c>
      <c r="F15" s="21" t="s">
        <v>666</v>
      </c>
      <c r="G15" s="21" t="s">
        <v>667</v>
      </c>
      <c r="H15" s="21" t="s">
        <v>642</v>
      </c>
      <c r="I15" s="42" t="s">
        <v>675</v>
      </c>
      <c r="J15" s="43" t="s">
        <v>688</v>
      </c>
      <c r="K15" s="19" t="s">
        <v>15</v>
      </c>
      <c r="L15" s="44" t="s">
        <v>129</v>
      </c>
      <c r="M15" s="19" t="s">
        <v>689</v>
      </c>
      <c r="N15" s="19" t="s">
        <v>671</v>
      </c>
      <c r="O15" s="19" t="n">
        <v>4</v>
      </c>
      <c r="P15" s="45" t="s">
        <v>101</v>
      </c>
      <c r="Q15" s="46"/>
    </row>
    <row r="16" customFormat="false" ht="45" hidden="false" customHeight="true" outlineLevel="0" collapsed="false">
      <c r="A16" s="20" t="s">
        <v>135</v>
      </c>
      <c r="B16" s="22" t="s">
        <v>47</v>
      </c>
      <c r="C16" s="8" t="s">
        <v>136</v>
      </c>
      <c r="D16" s="22" t="s">
        <v>690</v>
      </c>
      <c r="E16" s="22" t="s">
        <v>691</v>
      </c>
      <c r="F16" s="22" t="s">
        <v>666</v>
      </c>
      <c r="G16" s="22" t="s">
        <v>667</v>
      </c>
      <c r="H16" s="22" t="s">
        <v>642</v>
      </c>
      <c r="I16" s="47" t="s">
        <v>692</v>
      </c>
      <c r="J16" s="48" t="s">
        <v>693</v>
      </c>
      <c r="K16" s="20" t="s">
        <v>13</v>
      </c>
      <c r="L16" s="49" t="s">
        <v>5</v>
      </c>
      <c r="M16" s="20" t="s">
        <v>694</v>
      </c>
      <c r="N16" s="20" t="s">
        <v>671</v>
      </c>
      <c r="O16" s="20" t="n">
        <v>5</v>
      </c>
      <c r="P16" s="45" t="s">
        <v>101</v>
      </c>
      <c r="Q16" s="46"/>
    </row>
    <row r="17" customFormat="false" ht="45" hidden="false" customHeight="true" outlineLevel="0" collapsed="false">
      <c r="A17" s="19" t="s">
        <v>137</v>
      </c>
      <c r="B17" s="21" t="s">
        <v>47</v>
      </c>
      <c r="C17" s="5" t="s">
        <v>138</v>
      </c>
      <c r="D17" s="21" t="s">
        <v>695</v>
      </c>
      <c r="E17" s="21" t="s">
        <v>691</v>
      </c>
      <c r="F17" s="21" t="s">
        <v>666</v>
      </c>
      <c r="G17" s="21" t="s">
        <v>667</v>
      </c>
      <c r="H17" s="21" t="s">
        <v>642</v>
      </c>
      <c r="I17" s="42" t="s">
        <v>696</v>
      </c>
      <c r="J17" s="43" t="s">
        <v>697</v>
      </c>
      <c r="K17" s="19" t="s">
        <v>13</v>
      </c>
      <c r="L17" s="44" t="s">
        <v>5</v>
      </c>
      <c r="M17" s="19" t="s">
        <v>694</v>
      </c>
      <c r="N17" s="19" t="s">
        <v>671</v>
      </c>
      <c r="O17" s="19" t="n">
        <v>5</v>
      </c>
      <c r="P17" s="45" t="s">
        <v>101</v>
      </c>
      <c r="Q17" s="46"/>
    </row>
    <row r="18" customFormat="false" ht="45" hidden="false" customHeight="true" outlineLevel="0" collapsed="false">
      <c r="A18" s="20" t="s">
        <v>139</v>
      </c>
      <c r="B18" s="22" t="s">
        <v>47</v>
      </c>
      <c r="C18" s="8" t="s">
        <v>140</v>
      </c>
      <c r="D18" s="22" t="s">
        <v>698</v>
      </c>
      <c r="E18" s="22" t="s">
        <v>691</v>
      </c>
      <c r="F18" s="22" t="s">
        <v>666</v>
      </c>
      <c r="G18" s="22" t="s">
        <v>667</v>
      </c>
      <c r="H18" s="22" t="s">
        <v>642</v>
      </c>
      <c r="I18" s="47" t="s">
        <v>699</v>
      </c>
      <c r="J18" s="48" t="s">
        <v>700</v>
      </c>
      <c r="K18" s="20" t="s">
        <v>13</v>
      </c>
      <c r="L18" s="49" t="s">
        <v>5</v>
      </c>
      <c r="M18" s="20" t="s">
        <v>694</v>
      </c>
      <c r="N18" s="20" t="s">
        <v>671</v>
      </c>
      <c r="O18" s="20" t="n">
        <v>4</v>
      </c>
      <c r="P18" s="45" t="s">
        <v>101</v>
      </c>
      <c r="Q18" s="46"/>
    </row>
    <row r="19" customFormat="false" ht="45" hidden="false" customHeight="true" outlineLevel="0" collapsed="false">
      <c r="A19" s="19" t="s">
        <v>701</v>
      </c>
      <c r="B19" s="21" t="s">
        <v>47</v>
      </c>
      <c r="C19" s="5" t="s">
        <v>702</v>
      </c>
      <c r="D19" s="21" t="s">
        <v>703</v>
      </c>
      <c r="E19" s="21" t="s">
        <v>704</v>
      </c>
      <c r="F19" s="21" t="s">
        <v>666</v>
      </c>
      <c r="G19" s="21" t="s">
        <v>667</v>
      </c>
      <c r="H19" s="21" t="s">
        <v>642</v>
      </c>
      <c r="I19" s="42" t="s">
        <v>675</v>
      </c>
      <c r="J19" s="43" t="s">
        <v>705</v>
      </c>
      <c r="K19" s="19" t="s">
        <v>15</v>
      </c>
      <c r="L19" s="44" t="s">
        <v>5</v>
      </c>
      <c r="M19" s="19" t="s">
        <v>706</v>
      </c>
      <c r="N19" s="19" t="s">
        <v>671</v>
      </c>
      <c r="O19" s="19" t="n">
        <v>5</v>
      </c>
      <c r="P19" s="45" t="s">
        <v>101</v>
      </c>
      <c r="Q19" s="46"/>
    </row>
    <row r="20" customFormat="false" ht="45" hidden="false" customHeight="true" outlineLevel="0" collapsed="false">
      <c r="A20" s="20" t="s">
        <v>707</v>
      </c>
      <c r="B20" s="22" t="s">
        <v>47</v>
      </c>
      <c r="C20" s="8" t="s">
        <v>708</v>
      </c>
      <c r="D20" s="22" t="s">
        <v>709</v>
      </c>
      <c r="E20" s="22" t="s">
        <v>553</v>
      </c>
      <c r="F20" s="22" t="s">
        <v>666</v>
      </c>
      <c r="G20" s="22" t="s">
        <v>667</v>
      </c>
      <c r="H20" s="22" t="s">
        <v>642</v>
      </c>
      <c r="I20" s="47" t="s">
        <v>675</v>
      </c>
      <c r="J20" s="48" t="s">
        <v>710</v>
      </c>
      <c r="K20" s="20" t="s">
        <v>17</v>
      </c>
      <c r="L20" s="49" t="s">
        <v>5</v>
      </c>
      <c r="M20" s="20" t="s">
        <v>711</v>
      </c>
      <c r="N20" s="20" t="s">
        <v>671</v>
      </c>
      <c r="O20" s="20" t="n">
        <v>4</v>
      </c>
      <c r="P20" s="45" t="s">
        <v>101</v>
      </c>
      <c r="Q20" s="46"/>
    </row>
    <row r="21" customFormat="false" ht="45" hidden="false" customHeight="true" outlineLevel="0" collapsed="false">
      <c r="A21" s="19" t="s">
        <v>712</v>
      </c>
      <c r="B21" s="21" t="s">
        <v>47</v>
      </c>
      <c r="C21" s="5" t="s">
        <v>713</v>
      </c>
      <c r="D21" s="21" t="s">
        <v>714</v>
      </c>
      <c r="E21" s="21" t="s">
        <v>553</v>
      </c>
      <c r="F21" s="21" t="s">
        <v>666</v>
      </c>
      <c r="G21" s="21" t="s">
        <v>667</v>
      </c>
      <c r="H21" s="21" t="s">
        <v>642</v>
      </c>
      <c r="I21" s="42" t="s">
        <v>715</v>
      </c>
      <c r="J21" s="43" t="s">
        <v>716</v>
      </c>
      <c r="K21" s="19" t="s">
        <v>17</v>
      </c>
      <c r="L21" s="44" t="s">
        <v>717</v>
      </c>
      <c r="M21" s="19" t="s">
        <v>711</v>
      </c>
      <c r="N21" s="19" t="s">
        <v>671</v>
      </c>
      <c r="O21" s="19" t="n">
        <v>5</v>
      </c>
      <c r="P21" s="45" t="s">
        <v>101</v>
      </c>
      <c r="Q21" s="46"/>
    </row>
    <row r="22" customFormat="false" ht="45" hidden="false" customHeight="true" outlineLevel="0" collapsed="false">
      <c r="A22" s="20" t="s">
        <v>718</v>
      </c>
      <c r="B22" s="22" t="s">
        <v>47</v>
      </c>
      <c r="C22" s="8" t="s">
        <v>719</v>
      </c>
      <c r="D22" s="22" t="s">
        <v>720</v>
      </c>
      <c r="E22" s="22" t="s">
        <v>601</v>
      </c>
      <c r="F22" s="22" t="s">
        <v>666</v>
      </c>
      <c r="G22" s="22" t="s">
        <v>667</v>
      </c>
      <c r="H22" s="22" t="s">
        <v>642</v>
      </c>
      <c r="I22" s="47" t="s">
        <v>721</v>
      </c>
      <c r="J22" s="48" t="s">
        <v>722</v>
      </c>
      <c r="K22" s="20" t="s">
        <v>15</v>
      </c>
      <c r="L22" s="49" t="s">
        <v>5</v>
      </c>
      <c r="M22" s="20" t="s">
        <v>723</v>
      </c>
      <c r="N22" s="20" t="s">
        <v>671</v>
      </c>
      <c r="O22" s="20" t="n">
        <v>4</v>
      </c>
      <c r="P22" s="45" t="s">
        <v>101</v>
      </c>
      <c r="Q22" s="46"/>
    </row>
    <row r="23" customFormat="false" ht="45" hidden="false" customHeight="true" outlineLevel="0" collapsed="false">
      <c r="A23" s="19" t="s">
        <v>141</v>
      </c>
      <c r="B23" s="21" t="s">
        <v>47</v>
      </c>
      <c r="C23" s="5" t="s">
        <v>142</v>
      </c>
      <c r="D23" s="21" t="s">
        <v>724</v>
      </c>
      <c r="E23" s="21" t="s">
        <v>725</v>
      </c>
      <c r="F23" s="21" t="s">
        <v>666</v>
      </c>
      <c r="G23" s="21" t="s">
        <v>667</v>
      </c>
      <c r="H23" s="21" t="s">
        <v>726</v>
      </c>
      <c r="I23" s="42" t="s">
        <v>727</v>
      </c>
      <c r="J23" s="43" t="s">
        <v>728</v>
      </c>
      <c r="K23" s="19" t="s">
        <v>13</v>
      </c>
      <c r="L23" s="44" t="s">
        <v>5</v>
      </c>
      <c r="M23" s="19" t="s">
        <v>729</v>
      </c>
      <c r="N23" s="19" t="s">
        <v>671</v>
      </c>
      <c r="O23" s="19" t="n">
        <v>7</v>
      </c>
      <c r="P23" s="45" t="s">
        <v>101</v>
      </c>
      <c r="Q23" s="46"/>
    </row>
    <row r="24" customFormat="false" ht="45" hidden="false" customHeight="true" outlineLevel="0" collapsed="false">
      <c r="A24" s="20" t="s">
        <v>143</v>
      </c>
      <c r="B24" s="22" t="s">
        <v>47</v>
      </c>
      <c r="C24" s="8" t="s">
        <v>144</v>
      </c>
      <c r="D24" s="22" t="s">
        <v>730</v>
      </c>
      <c r="E24" s="22" t="s">
        <v>731</v>
      </c>
      <c r="F24" s="22" t="s">
        <v>732</v>
      </c>
      <c r="G24" s="22" t="s">
        <v>145</v>
      </c>
      <c r="H24" s="22" t="s">
        <v>726</v>
      </c>
      <c r="I24" s="47" t="s">
        <v>733</v>
      </c>
      <c r="J24" s="48" t="s">
        <v>734</v>
      </c>
      <c r="K24" s="20" t="s">
        <v>13</v>
      </c>
      <c r="L24" s="49" t="s">
        <v>5</v>
      </c>
      <c r="M24" s="20" t="s">
        <v>735</v>
      </c>
      <c r="N24" s="20" t="s">
        <v>646</v>
      </c>
      <c r="O24" s="20" t="n">
        <v>1</v>
      </c>
      <c r="P24" s="45" t="s">
        <v>101</v>
      </c>
      <c r="Q24" s="46"/>
    </row>
    <row r="25" customFormat="false" ht="45" hidden="false" customHeight="true" outlineLevel="0" collapsed="false">
      <c r="A25" s="19" t="s">
        <v>736</v>
      </c>
      <c r="B25" s="21" t="s">
        <v>47</v>
      </c>
      <c r="C25" s="5" t="s">
        <v>737</v>
      </c>
      <c r="D25" s="21" t="s">
        <v>738</v>
      </c>
      <c r="E25" s="21" t="s">
        <v>691</v>
      </c>
      <c r="F25" s="21" t="s">
        <v>739</v>
      </c>
      <c r="G25" s="21" t="s">
        <v>314</v>
      </c>
      <c r="H25" s="21" t="s">
        <v>740</v>
      </c>
      <c r="I25" s="42" t="s">
        <v>741</v>
      </c>
      <c r="J25" s="43" t="s">
        <v>742</v>
      </c>
      <c r="K25" s="19" t="s">
        <v>15</v>
      </c>
      <c r="L25" s="44" t="s">
        <v>129</v>
      </c>
      <c r="M25" s="19" t="s">
        <v>689</v>
      </c>
      <c r="N25" s="19" t="s">
        <v>646</v>
      </c>
      <c r="O25" s="19" t="n">
        <v>2</v>
      </c>
      <c r="P25" s="45" t="s">
        <v>101</v>
      </c>
      <c r="Q25" s="46"/>
    </row>
    <row r="26" customFormat="false" ht="45" hidden="false" customHeight="true" outlineLevel="0" collapsed="false">
      <c r="A26" s="20" t="s">
        <v>146</v>
      </c>
      <c r="B26" s="22" t="s">
        <v>47</v>
      </c>
      <c r="C26" s="8" t="s">
        <v>147</v>
      </c>
      <c r="D26" s="22" t="s">
        <v>743</v>
      </c>
      <c r="E26" s="22" t="s">
        <v>553</v>
      </c>
      <c r="F26" s="22" t="s">
        <v>744</v>
      </c>
      <c r="G26" s="22" t="s">
        <v>116</v>
      </c>
      <c r="H26" s="22" t="s">
        <v>642</v>
      </c>
      <c r="I26" s="47" t="s">
        <v>745</v>
      </c>
      <c r="J26" s="48" t="s">
        <v>746</v>
      </c>
      <c r="K26" s="20" t="s">
        <v>13</v>
      </c>
      <c r="L26" s="49" t="s">
        <v>5</v>
      </c>
      <c r="M26" s="20" t="s">
        <v>670</v>
      </c>
      <c r="N26" s="20" t="s">
        <v>646</v>
      </c>
      <c r="O26" s="20" t="n">
        <v>2</v>
      </c>
      <c r="P26" s="45" t="s">
        <v>101</v>
      </c>
      <c r="Q26" s="46"/>
    </row>
    <row r="27" customFormat="false" ht="45" hidden="false" customHeight="true" outlineLevel="0" collapsed="false">
      <c r="A27" s="19" t="s">
        <v>148</v>
      </c>
      <c r="B27" s="21" t="s">
        <v>49</v>
      </c>
      <c r="C27" s="5" t="s">
        <v>149</v>
      </c>
      <c r="D27" s="21" t="s">
        <v>747</v>
      </c>
      <c r="E27" s="21" t="s">
        <v>748</v>
      </c>
      <c r="F27" s="21" t="s">
        <v>749</v>
      </c>
      <c r="G27" s="21" t="s">
        <v>150</v>
      </c>
      <c r="H27" s="21" t="s">
        <v>642</v>
      </c>
      <c r="I27" s="42" t="s">
        <v>750</v>
      </c>
      <c r="J27" s="43" t="s">
        <v>751</v>
      </c>
      <c r="K27" s="19" t="s">
        <v>13</v>
      </c>
      <c r="L27" s="44" t="s">
        <v>5</v>
      </c>
      <c r="M27" s="19" t="s">
        <v>670</v>
      </c>
      <c r="N27" s="19" t="s">
        <v>671</v>
      </c>
      <c r="O27" s="19" t="n">
        <v>4</v>
      </c>
      <c r="P27" s="45" t="s">
        <v>101</v>
      </c>
      <c r="Q27" s="46"/>
    </row>
    <row r="28" customFormat="false" ht="45" hidden="false" customHeight="true" outlineLevel="0" collapsed="false">
      <c r="A28" s="20" t="s">
        <v>752</v>
      </c>
      <c r="B28" s="22" t="s">
        <v>49</v>
      </c>
      <c r="C28" s="8" t="s">
        <v>753</v>
      </c>
      <c r="D28" s="22" t="s">
        <v>754</v>
      </c>
      <c r="E28" s="22" t="s">
        <v>553</v>
      </c>
      <c r="F28" s="22" t="s">
        <v>749</v>
      </c>
      <c r="G28" s="22" t="s">
        <v>150</v>
      </c>
      <c r="H28" s="22" t="s">
        <v>642</v>
      </c>
      <c r="I28" s="47" t="s">
        <v>755</v>
      </c>
      <c r="J28" s="48" t="s">
        <v>756</v>
      </c>
      <c r="K28" s="20" t="s">
        <v>15</v>
      </c>
      <c r="L28" s="49" t="s">
        <v>5</v>
      </c>
      <c r="M28" s="20" t="s">
        <v>677</v>
      </c>
      <c r="N28" s="20" t="s">
        <v>671</v>
      </c>
      <c r="O28" s="20" t="n">
        <v>3</v>
      </c>
      <c r="P28" s="45" t="s">
        <v>101</v>
      </c>
      <c r="Q28" s="46"/>
    </row>
    <row r="29" customFormat="false" ht="45" hidden="false" customHeight="true" outlineLevel="0" collapsed="false">
      <c r="A29" s="19" t="s">
        <v>757</v>
      </c>
      <c r="B29" s="21" t="s">
        <v>49</v>
      </c>
      <c r="C29" s="5" t="s">
        <v>758</v>
      </c>
      <c r="D29" s="21" t="s">
        <v>759</v>
      </c>
      <c r="E29" s="21" t="s">
        <v>553</v>
      </c>
      <c r="F29" s="21" t="s">
        <v>749</v>
      </c>
      <c r="G29" s="21" t="s">
        <v>168</v>
      </c>
      <c r="H29" s="21" t="s">
        <v>642</v>
      </c>
      <c r="I29" s="42" t="s">
        <v>760</v>
      </c>
      <c r="J29" s="43" t="s">
        <v>761</v>
      </c>
      <c r="K29" s="19" t="s">
        <v>15</v>
      </c>
      <c r="L29" s="44" t="s">
        <v>5</v>
      </c>
      <c r="M29" s="19" t="s">
        <v>677</v>
      </c>
      <c r="N29" s="19" t="s">
        <v>671</v>
      </c>
      <c r="O29" s="19" t="n">
        <v>3</v>
      </c>
      <c r="P29" s="45" t="s">
        <v>101</v>
      </c>
      <c r="Q29" s="46"/>
    </row>
    <row r="30" customFormat="false" ht="45" hidden="false" customHeight="true" outlineLevel="0" collapsed="false">
      <c r="A30" s="20" t="s">
        <v>762</v>
      </c>
      <c r="B30" s="22" t="s">
        <v>49</v>
      </c>
      <c r="C30" s="8" t="s">
        <v>763</v>
      </c>
      <c r="D30" s="22" t="s">
        <v>764</v>
      </c>
      <c r="E30" s="22" t="s">
        <v>553</v>
      </c>
      <c r="F30" s="22" t="s">
        <v>749</v>
      </c>
      <c r="G30" s="22" t="s">
        <v>765</v>
      </c>
      <c r="H30" s="22" t="s">
        <v>642</v>
      </c>
      <c r="I30" s="47" t="s">
        <v>755</v>
      </c>
      <c r="J30" s="48" t="s">
        <v>766</v>
      </c>
      <c r="K30" s="20" t="s">
        <v>15</v>
      </c>
      <c r="L30" s="49" t="s">
        <v>5</v>
      </c>
      <c r="M30" s="20" t="s">
        <v>706</v>
      </c>
      <c r="N30" s="20" t="s">
        <v>671</v>
      </c>
      <c r="O30" s="20" t="n">
        <v>4</v>
      </c>
      <c r="P30" s="45" t="s">
        <v>101</v>
      </c>
      <c r="Q30" s="46"/>
    </row>
    <row r="31" customFormat="false" ht="45" hidden="false" customHeight="true" outlineLevel="0" collapsed="false">
      <c r="A31" s="19" t="s">
        <v>152</v>
      </c>
      <c r="B31" s="21" t="s">
        <v>49</v>
      </c>
      <c r="C31" s="5" t="s">
        <v>153</v>
      </c>
      <c r="D31" s="21" t="s">
        <v>767</v>
      </c>
      <c r="E31" s="21" t="s">
        <v>768</v>
      </c>
      <c r="F31" s="21" t="s">
        <v>749</v>
      </c>
      <c r="G31" s="21" t="s">
        <v>154</v>
      </c>
      <c r="H31" s="21" t="s">
        <v>769</v>
      </c>
      <c r="I31" s="42" t="s">
        <v>770</v>
      </c>
      <c r="J31" s="43" t="s">
        <v>771</v>
      </c>
      <c r="K31" s="19" t="s">
        <v>13</v>
      </c>
      <c r="L31" s="44" t="s">
        <v>5</v>
      </c>
      <c r="M31" s="19" t="s">
        <v>677</v>
      </c>
      <c r="N31" s="19" t="s">
        <v>646</v>
      </c>
      <c r="O31" s="19" t="n">
        <v>4</v>
      </c>
      <c r="P31" s="45" t="s">
        <v>101</v>
      </c>
      <c r="Q31" s="46"/>
    </row>
    <row r="32" customFormat="false" ht="45" hidden="false" customHeight="true" outlineLevel="0" collapsed="false">
      <c r="A32" s="20" t="s">
        <v>155</v>
      </c>
      <c r="B32" s="22" t="s">
        <v>49</v>
      </c>
      <c r="C32" s="8" t="s">
        <v>156</v>
      </c>
      <c r="D32" s="22" t="s">
        <v>772</v>
      </c>
      <c r="E32" s="22" t="s">
        <v>558</v>
      </c>
      <c r="F32" s="22" t="s">
        <v>744</v>
      </c>
      <c r="G32" s="22" t="s">
        <v>116</v>
      </c>
      <c r="H32" s="22" t="s">
        <v>773</v>
      </c>
      <c r="I32" s="47" t="s">
        <v>774</v>
      </c>
      <c r="J32" s="48" t="s">
        <v>775</v>
      </c>
      <c r="K32" s="20" t="s">
        <v>13</v>
      </c>
      <c r="L32" s="49" t="s">
        <v>5</v>
      </c>
      <c r="M32" s="20" t="s">
        <v>694</v>
      </c>
      <c r="N32" s="20" t="s">
        <v>646</v>
      </c>
      <c r="O32" s="20" t="n">
        <v>4</v>
      </c>
      <c r="P32" s="45" t="s">
        <v>101</v>
      </c>
      <c r="Q32" s="46"/>
    </row>
    <row r="33" customFormat="false" ht="45" hidden="false" customHeight="true" outlineLevel="0" collapsed="false">
      <c r="A33" s="19" t="s">
        <v>157</v>
      </c>
      <c r="B33" s="21" t="s">
        <v>49</v>
      </c>
      <c r="C33" s="5" t="s">
        <v>158</v>
      </c>
      <c r="D33" s="21" t="s">
        <v>776</v>
      </c>
      <c r="E33" s="21" t="s">
        <v>558</v>
      </c>
      <c r="F33" s="21" t="s">
        <v>744</v>
      </c>
      <c r="G33" s="21" t="s">
        <v>159</v>
      </c>
      <c r="H33" s="21" t="s">
        <v>642</v>
      </c>
      <c r="I33" s="42" t="s">
        <v>777</v>
      </c>
      <c r="J33" s="43" t="s">
        <v>778</v>
      </c>
      <c r="K33" s="19" t="s">
        <v>13</v>
      </c>
      <c r="L33" s="44" t="s">
        <v>5</v>
      </c>
      <c r="M33" s="19" t="s">
        <v>694</v>
      </c>
      <c r="N33" s="19" t="s">
        <v>646</v>
      </c>
      <c r="O33" s="19" t="n">
        <v>1</v>
      </c>
      <c r="P33" s="45" t="s">
        <v>101</v>
      </c>
      <c r="Q33" s="46"/>
    </row>
    <row r="34" customFormat="false" ht="45" hidden="false" customHeight="true" outlineLevel="0" collapsed="false">
      <c r="A34" s="20" t="s">
        <v>160</v>
      </c>
      <c r="B34" s="22" t="s">
        <v>51</v>
      </c>
      <c r="C34" s="8" t="s">
        <v>161</v>
      </c>
      <c r="D34" s="22" t="s">
        <v>779</v>
      </c>
      <c r="E34" s="22" t="s">
        <v>553</v>
      </c>
      <c r="F34" s="22" t="s">
        <v>749</v>
      </c>
      <c r="G34" s="22" t="s">
        <v>162</v>
      </c>
      <c r="H34" s="22" t="s">
        <v>642</v>
      </c>
      <c r="I34" s="47" t="s">
        <v>780</v>
      </c>
      <c r="J34" s="48" t="s">
        <v>781</v>
      </c>
      <c r="K34" s="20" t="s">
        <v>13</v>
      </c>
      <c r="L34" s="49" t="s">
        <v>5</v>
      </c>
      <c r="M34" s="20" t="s">
        <v>670</v>
      </c>
      <c r="N34" s="20" t="s">
        <v>671</v>
      </c>
      <c r="O34" s="20" t="n">
        <v>3</v>
      </c>
      <c r="P34" s="45" t="s">
        <v>101</v>
      </c>
      <c r="Q34" s="46"/>
    </row>
    <row r="35" customFormat="false" ht="45" hidden="false" customHeight="true" outlineLevel="0" collapsed="false">
      <c r="A35" s="19" t="s">
        <v>164</v>
      </c>
      <c r="B35" s="21" t="s">
        <v>51</v>
      </c>
      <c r="C35" s="5" t="s">
        <v>165</v>
      </c>
      <c r="D35" s="21" t="s">
        <v>782</v>
      </c>
      <c r="E35" s="21" t="s">
        <v>553</v>
      </c>
      <c r="F35" s="21" t="s">
        <v>749</v>
      </c>
      <c r="G35" s="21" t="s">
        <v>162</v>
      </c>
      <c r="H35" s="21" t="s">
        <v>642</v>
      </c>
      <c r="I35" s="42" t="s">
        <v>783</v>
      </c>
      <c r="J35" s="43" t="s">
        <v>784</v>
      </c>
      <c r="K35" s="19" t="s">
        <v>13</v>
      </c>
      <c r="L35" s="44" t="s">
        <v>5</v>
      </c>
      <c r="M35" s="19" t="s">
        <v>670</v>
      </c>
      <c r="N35" s="19" t="s">
        <v>671</v>
      </c>
      <c r="O35" s="19" t="n">
        <v>3</v>
      </c>
      <c r="P35" s="45" t="s">
        <v>101</v>
      </c>
      <c r="Q35" s="46"/>
    </row>
    <row r="36" customFormat="false" ht="45" hidden="false" customHeight="true" outlineLevel="0" collapsed="false">
      <c r="A36" s="20" t="s">
        <v>785</v>
      </c>
      <c r="B36" s="22" t="s">
        <v>51</v>
      </c>
      <c r="C36" s="8" t="s">
        <v>786</v>
      </c>
      <c r="D36" s="22" t="s">
        <v>787</v>
      </c>
      <c r="E36" s="22" t="s">
        <v>553</v>
      </c>
      <c r="F36" s="22" t="s">
        <v>749</v>
      </c>
      <c r="G36" s="22" t="s">
        <v>162</v>
      </c>
      <c r="H36" s="22" t="s">
        <v>642</v>
      </c>
      <c r="I36" s="47" t="s">
        <v>783</v>
      </c>
      <c r="J36" s="48" t="s">
        <v>788</v>
      </c>
      <c r="K36" s="20" t="s">
        <v>15</v>
      </c>
      <c r="L36" s="49" t="s">
        <v>5</v>
      </c>
      <c r="M36" s="20" t="s">
        <v>677</v>
      </c>
      <c r="N36" s="20" t="s">
        <v>671</v>
      </c>
      <c r="O36" s="20" t="n">
        <v>3</v>
      </c>
      <c r="P36" s="45" t="s">
        <v>101</v>
      </c>
      <c r="Q36" s="46"/>
    </row>
    <row r="37" customFormat="false" ht="45" hidden="false" customHeight="true" outlineLevel="0" collapsed="false">
      <c r="A37" s="19" t="s">
        <v>789</v>
      </c>
      <c r="B37" s="21" t="s">
        <v>51</v>
      </c>
      <c r="C37" s="5" t="s">
        <v>790</v>
      </c>
      <c r="D37" s="21" t="s">
        <v>791</v>
      </c>
      <c r="E37" s="21" t="s">
        <v>553</v>
      </c>
      <c r="F37" s="21" t="s">
        <v>749</v>
      </c>
      <c r="G37" s="21" t="s">
        <v>162</v>
      </c>
      <c r="H37" s="21" t="s">
        <v>726</v>
      </c>
      <c r="I37" s="42" t="s">
        <v>783</v>
      </c>
      <c r="J37" s="43" t="s">
        <v>792</v>
      </c>
      <c r="K37" s="19" t="s">
        <v>15</v>
      </c>
      <c r="L37" s="44" t="s">
        <v>5</v>
      </c>
      <c r="M37" s="19" t="s">
        <v>706</v>
      </c>
      <c r="N37" s="19" t="s">
        <v>671</v>
      </c>
      <c r="O37" s="19" t="n">
        <v>6</v>
      </c>
      <c r="P37" s="45" t="s">
        <v>101</v>
      </c>
      <c r="Q37" s="46"/>
    </row>
    <row r="38" customFormat="false" ht="45" hidden="false" customHeight="true" outlineLevel="0" collapsed="false">
      <c r="A38" s="20" t="s">
        <v>166</v>
      </c>
      <c r="B38" s="22" t="s">
        <v>51</v>
      </c>
      <c r="C38" s="8" t="s">
        <v>167</v>
      </c>
      <c r="D38" s="22" t="s">
        <v>793</v>
      </c>
      <c r="E38" s="22" t="s">
        <v>553</v>
      </c>
      <c r="F38" s="22" t="s">
        <v>749</v>
      </c>
      <c r="G38" s="22" t="s">
        <v>168</v>
      </c>
      <c r="H38" s="22" t="s">
        <v>794</v>
      </c>
      <c r="I38" s="47" t="s">
        <v>795</v>
      </c>
      <c r="J38" s="48" t="s">
        <v>796</v>
      </c>
      <c r="K38" s="20" t="s">
        <v>13</v>
      </c>
      <c r="L38" s="49" t="s">
        <v>5</v>
      </c>
      <c r="M38" s="20" t="s">
        <v>670</v>
      </c>
      <c r="N38" s="20" t="s">
        <v>671</v>
      </c>
      <c r="O38" s="20" t="n">
        <v>12</v>
      </c>
      <c r="P38" s="45" t="s">
        <v>101</v>
      </c>
      <c r="Q38" s="46"/>
    </row>
    <row r="39" customFormat="false" ht="45" hidden="false" customHeight="true" outlineLevel="0" collapsed="false">
      <c r="A39" s="19" t="s">
        <v>169</v>
      </c>
      <c r="B39" s="21" t="s">
        <v>51</v>
      </c>
      <c r="C39" s="5" t="s">
        <v>170</v>
      </c>
      <c r="D39" s="21" t="s">
        <v>797</v>
      </c>
      <c r="E39" s="21" t="s">
        <v>553</v>
      </c>
      <c r="F39" s="21" t="s">
        <v>739</v>
      </c>
      <c r="G39" s="21" t="s">
        <v>171</v>
      </c>
      <c r="H39" s="21" t="s">
        <v>740</v>
      </c>
      <c r="I39" s="42" t="s">
        <v>798</v>
      </c>
      <c r="J39" s="43" t="s">
        <v>799</v>
      </c>
      <c r="K39" s="19" t="s">
        <v>13</v>
      </c>
      <c r="L39" s="44" t="s">
        <v>5</v>
      </c>
      <c r="M39" s="19" t="s">
        <v>670</v>
      </c>
      <c r="N39" s="19" t="s">
        <v>646</v>
      </c>
      <c r="O39" s="19" t="n">
        <v>3</v>
      </c>
      <c r="P39" s="45" t="s">
        <v>101</v>
      </c>
      <c r="Q39" s="46"/>
    </row>
    <row r="40" customFormat="false" ht="45" hidden="false" customHeight="true" outlineLevel="0" collapsed="false">
      <c r="A40" s="20" t="s">
        <v>800</v>
      </c>
      <c r="B40" s="22" t="s">
        <v>51</v>
      </c>
      <c r="C40" s="8" t="s">
        <v>801</v>
      </c>
      <c r="D40" s="22" t="s">
        <v>802</v>
      </c>
      <c r="E40" s="22" t="s">
        <v>553</v>
      </c>
      <c r="F40" s="22" t="s">
        <v>803</v>
      </c>
      <c r="G40" s="22" t="s">
        <v>804</v>
      </c>
      <c r="H40" s="22" t="s">
        <v>805</v>
      </c>
      <c r="I40" s="47" t="s">
        <v>806</v>
      </c>
      <c r="J40" s="48" t="s">
        <v>807</v>
      </c>
      <c r="K40" s="20" t="s">
        <v>15</v>
      </c>
      <c r="L40" s="49" t="s">
        <v>5</v>
      </c>
      <c r="M40" s="20" t="s">
        <v>677</v>
      </c>
      <c r="N40" s="20" t="s">
        <v>646</v>
      </c>
      <c r="O40" s="20" t="n">
        <v>4</v>
      </c>
      <c r="P40" s="45" t="s">
        <v>101</v>
      </c>
      <c r="Q40" s="46"/>
    </row>
    <row r="41" customFormat="false" ht="45" hidden="false" customHeight="true" outlineLevel="0" collapsed="false">
      <c r="A41" s="19" t="s">
        <v>808</v>
      </c>
      <c r="B41" s="21" t="s">
        <v>51</v>
      </c>
      <c r="C41" s="5" t="s">
        <v>809</v>
      </c>
      <c r="D41" s="21" t="s">
        <v>810</v>
      </c>
      <c r="E41" s="21" t="s">
        <v>553</v>
      </c>
      <c r="F41" s="21" t="s">
        <v>803</v>
      </c>
      <c r="G41" s="21" t="s">
        <v>811</v>
      </c>
      <c r="H41" s="21" t="s">
        <v>812</v>
      </c>
      <c r="I41" s="42" t="s">
        <v>813</v>
      </c>
      <c r="J41" s="43" t="s">
        <v>814</v>
      </c>
      <c r="K41" s="19" t="s">
        <v>15</v>
      </c>
      <c r="L41" s="44" t="s">
        <v>129</v>
      </c>
      <c r="M41" s="19" t="s">
        <v>815</v>
      </c>
      <c r="N41" s="19" t="s">
        <v>646</v>
      </c>
      <c r="O41" s="19" t="n">
        <v>4</v>
      </c>
      <c r="P41" s="45" t="s">
        <v>101</v>
      </c>
      <c r="Q41" s="46"/>
    </row>
    <row r="42" customFormat="false" ht="45" hidden="false" customHeight="true" outlineLevel="0" collapsed="false">
      <c r="A42" s="20" t="s">
        <v>816</v>
      </c>
      <c r="B42" s="22" t="s">
        <v>51</v>
      </c>
      <c r="C42" s="8" t="s">
        <v>817</v>
      </c>
      <c r="D42" s="22" t="s">
        <v>818</v>
      </c>
      <c r="E42" s="22" t="s">
        <v>553</v>
      </c>
      <c r="F42" s="22" t="s">
        <v>739</v>
      </c>
      <c r="G42" s="22" t="s">
        <v>171</v>
      </c>
      <c r="H42" s="22" t="s">
        <v>819</v>
      </c>
      <c r="I42" s="47" t="s">
        <v>820</v>
      </c>
      <c r="J42" s="48" t="s">
        <v>821</v>
      </c>
      <c r="K42" s="20" t="s">
        <v>15</v>
      </c>
      <c r="L42" s="49" t="s">
        <v>717</v>
      </c>
      <c r="M42" s="20" t="s">
        <v>822</v>
      </c>
      <c r="N42" s="20" t="s">
        <v>646</v>
      </c>
      <c r="O42" s="20" t="n">
        <v>4</v>
      </c>
      <c r="P42" s="45" t="s">
        <v>101</v>
      </c>
      <c r="Q42" s="46"/>
    </row>
    <row r="43" customFormat="false" ht="45" hidden="false" customHeight="true" outlineLevel="0" collapsed="false">
      <c r="A43" s="19" t="s">
        <v>823</v>
      </c>
      <c r="B43" s="21" t="s">
        <v>51</v>
      </c>
      <c r="C43" s="5" t="s">
        <v>824</v>
      </c>
      <c r="D43" s="21" t="s">
        <v>825</v>
      </c>
      <c r="E43" s="21" t="s">
        <v>748</v>
      </c>
      <c r="F43" s="21" t="s">
        <v>739</v>
      </c>
      <c r="G43" s="21" t="s">
        <v>826</v>
      </c>
      <c r="H43" s="21" t="s">
        <v>740</v>
      </c>
      <c r="I43" s="42" t="s">
        <v>827</v>
      </c>
      <c r="J43" s="43" t="s">
        <v>828</v>
      </c>
      <c r="K43" s="19" t="s">
        <v>15</v>
      </c>
      <c r="L43" s="44" t="s">
        <v>129</v>
      </c>
      <c r="M43" s="19" t="s">
        <v>815</v>
      </c>
      <c r="N43" s="19" t="s">
        <v>646</v>
      </c>
      <c r="O43" s="19" t="n">
        <v>2</v>
      </c>
      <c r="P43" s="45" t="s">
        <v>101</v>
      </c>
      <c r="Q43" s="46"/>
    </row>
    <row r="44" customFormat="false" ht="60" hidden="false" customHeight="true" outlineLevel="0" collapsed="false">
      <c r="A44" s="20" t="s">
        <v>270</v>
      </c>
      <c r="B44" s="22" t="s">
        <v>53</v>
      </c>
      <c r="C44" s="8" t="s">
        <v>271</v>
      </c>
      <c r="D44" s="22" t="s">
        <v>829</v>
      </c>
      <c r="E44" s="22" t="s">
        <v>553</v>
      </c>
      <c r="F44" s="22" t="s">
        <v>830</v>
      </c>
      <c r="G44" s="22" t="s">
        <v>272</v>
      </c>
      <c r="H44" s="22" t="s">
        <v>642</v>
      </c>
      <c r="I44" s="47" t="s">
        <v>831</v>
      </c>
      <c r="J44" s="48" t="s">
        <v>832</v>
      </c>
      <c r="K44" s="20" t="s">
        <v>13</v>
      </c>
      <c r="L44" s="49" t="s">
        <v>5</v>
      </c>
      <c r="M44" s="20" t="s">
        <v>670</v>
      </c>
      <c r="N44" s="20" t="s">
        <v>671</v>
      </c>
      <c r="O44" s="20" t="n">
        <v>6</v>
      </c>
      <c r="P44" s="45" t="s">
        <v>101</v>
      </c>
      <c r="Q44" s="46"/>
    </row>
    <row r="45" customFormat="false" ht="60" hidden="false" customHeight="true" outlineLevel="0" collapsed="false">
      <c r="A45" s="19" t="s">
        <v>274</v>
      </c>
      <c r="B45" s="21" t="s">
        <v>53</v>
      </c>
      <c r="C45" s="5" t="s">
        <v>275</v>
      </c>
      <c r="D45" s="21" t="s">
        <v>833</v>
      </c>
      <c r="E45" s="21" t="s">
        <v>553</v>
      </c>
      <c r="F45" s="21" t="s">
        <v>830</v>
      </c>
      <c r="G45" s="21" t="s">
        <v>276</v>
      </c>
      <c r="H45" s="21" t="s">
        <v>642</v>
      </c>
      <c r="I45" s="42" t="s">
        <v>834</v>
      </c>
      <c r="J45" s="43" t="s">
        <v>835</v>
      </c>
      <c r="K45" s="19" t="s">
        <v>13</v>
      </c>
      <c r="L45" s="44" t="s">
        <v>5</v>
      </c>
      <c r="M45" s="19" t="s">
        <v>670</v>
      </c>
      <c r="N45" s="19" t="s">
        <v>671</v>
      </c>
      <c r="O45" s="19" t="n">
        <v>8</v>
      </c>
      <c r="P45" s="45" t="s">
        <v>101</v>
      </c>
      <c r="Q45" s="46"/>
    </row>
    <row r="46" customFormat="false" ht="45" hidden="false" customHeight="true" outlineLevel="0" collapsed="false">
      <c r="A46" s="20" t="s">
        <v>836</v>
      </c>
      <c r="B46" s="22" t="s">
        <v>53</v>
      </c>
      <c r="C46" s="8" t="s">
        <v>837</v>
      </c>
      <c r="D46" s="22" t="s">
        <v>838</v>
      </c>
      <c r="E46" s="22" t="s">
        <v>553</v>
      </c>
      <c r="F46" s="22" t="s">
        <v>830</v>
      </c>
      <c r="G46" s="22" t="s">
        <v>272</v>
      </c>
      <c r="H46" s="22" t="s">
        <v>642</v>
      </c>
      <c r="I46" s="47" t="s">
        <v>831</v>
      </c>
      <c r="J46" s="48" t="s">
        <v>839</v>
      </c>
      <c r="K46" s="20" t="s">
        <v>15</v>
      </c>
      <c r="L46" s="49" t="s">
        <v>5</v>
      </c>
      <c r="M46" s="20" t="s">
        <v>815</v>
      </c>
      <c r="N46" s="20" t="s">
        <v>671</v>
      </c>
      <c r="O46" s="20" t="n">
        <v>6</v>
      </c>
      <c r="P46" s="45" t="s">
        <v>101</v>
      </c>
      <c r="Q46" s="46"/>
    </row>
    <row r="47" customFormat="false" ht="60" hidden="false" customHeight="true" outlineLevel="0" collapsed="false">
      <c r="A47" s="19" t="s">
        <v>840</v>
      </c>
      <c r="B47" s="21" t="s">
        <v>53</v>
      </c>
      <c r="C47" s="5" t="s">
        <v>841</v>
      </c>
      <c r="D47" s="21" t="s">
        <v>842</v>
      </c>
      <c r="E47" s="21" t="s">
        <v>553</v>
      </c>
      <c r="F47" s="21" t="s">
        <v>830</v>
      </c>
      <c r="G47" s="21" t="s">
        <v>276</v>
      </c>
      <c r="H47" s="21" t="s">
        <v>642</v>
      </c>
      <c r="I47" s="42" t="s">
        <v>834</v>
      </c>
      <c r="J47" s="43" t="s">
        <v>843</v>
      </c>
      <c r="K47" s="19" t="s">
        <v>15</v>
      </c>
      <c r="L47" s="44" t="s">
        <v>5</v>
      </c>
      <c r="M47" s="19" t="s">
        <v>815</v>
      </c>
      <c r="N47" s="19" t="s">
        <v>671</v>
      </c>
      <c r="O47" s="19" t="n">
        <v>8</v>
      </c>
      <c r="P47" s="45" t="s">
        <v>101</v>
      </c>
      <c r="Q47" s="46"/>
    </row>
    <row r="48" customFormat="false" ht="45" hidden="false" customHeight="true" outlineLevel="0" collapsed="false">
      <c r="A48" s="20" t="s">
        <v>844</v>
      </c>
      <c r="B48" s="22" t="s">
        <v>53</v>
      </c>
      <c r="C48" s="8" t="s">
        <v>845</v>
      </c>
      <c r="D48" s="22" t="s">
        <v>846</v>
      </c>
      <c r="E48" s="22" t="s">
        <v>553</v>
      </c>
      <c r="F48" s="22" t="s">
        <v>830</v>
      </c>
      <c r="G48" s="22" t="s">
        <v>272</v>
      </c>
      <c r="H48" s="22" t="s">
        <v>642</v>
      </c>
      <c r="I48" s="47" t="s">
        <v>831</v>
      </c>
      <c r="J48" s="48" t="s">
        <v>847</v>
      </c>
      <c r="K48" s="20" t="s">
        <v>15</v>
      </c>
      <c r="L48" s="49" t="s">
        <v>5</v>
      </c>
      <c r="M48" s="20" t="s">
        <v>815</v>
      </c>
      <c r="N48" s="20" t="s">
        <v>671</v>
      </c>
      <c r="O48" s="20" t="n">
        <v>6</v>
      </c>
      <c r="P48" s="45" t="s">
        <v>101</v>
      </c>
      <c r="Q48" s="46"/>
    </row>
    <row r="49" customFormat="false" ht="45" hidden="false" customHeight="true" outlineLevel="0" collapsed="false">
      <c r="A49" s="19" t="s">
        <v>848</v>
      </c>
      <c r="B49" s="21" t="s">
        <v>53</v>
      </c>
      <c r="C49" s="5" t="s">
        <v>849</v>
      </c>
      <c r="D49" s="21" t="s">
        <v>850</v>
      </c>
      <c r="E49" s="21" t="s">
        <v>553</v>
      </c>
      <c r="F49" s="21" t="s">
        <v>830</v>
      </c>
      <c r="G49" s="21" t="s">
        <v>276</v>
      </c>
      <c r="H49" s="21" t="s">
        <v>642</v>
      </c>
      <c r="I49" s="42" t="s">
        <v>834</v>
      </c>
      <c r="J49" s="43" t="s">
        <v>851</v>
      </c>
      <c r="K49" s="19" t="s">
        <v>15</v>
      </c>
      <c r="L49" s="44" t="s">
        <v>5</v>
      </c>
      <c r="M49" s="19" t="s">
        <v>815</v>
      </c>
      <c r="N49" s="19" t="s">
        <v>671</v>
      </c>
      <c r="O49" s="19" t="n">
        <v>8</v>
      </c>
      <c r="P49" s="45" t="s">
        <v>101</v>
      </c>
      <c r="Q49" s="46"/>
    </row>
    <row r="50" customFormat="false" ht="45" hidden="false" customHeight="true" outlineLevel="0" collapsed="false">
      <c r="A50" s="20" t="s">
        <v>852</v>
      </c>
      <c r="B50" s="22" t="s">
        <v>53</v>
      </c>
      <c r="C50" s="8" t="s">
        <v>853</v>
      </c>
      <c r="D50" s="22" t="s">
        <v>854</v>
      </c>
      <c r="E50" s="22" t="s">
        <v>553</v>
      </c>
      <c r="F50" s="22" t="s">
        <v>830</v>
      </c>
      <c r="G50" s="22" t="s">
        <v>272</v>
      </c>
      <c r="H50" s="22" t="s">
        <v>642</v>
      </c>
      <c r="I50" s="47" t="s">
        <v>831</v>
      </c>
      <c r="J50" s="48" t="s">
        <v>855</v>
      </c>
      <c r="K50" s="20" t="s">
        <v>15</v>
      </c>
      <c r="L50" s="49" t="s">
        <v>5</v>
      </c>
      <c r="M50" s="20" t="s">
        <v>815</v>
      </c>
      <c r="N50" s="20" t="s">
        <v>671</v>
      </c>
      <c r="O50" s="20" t="n">
        <v>6</v>
      </c>
      <c r="P50" s="45" t="s">
        <v>101</v>
      </c>
      <c r="Q50" s="46"/>
    </row>
    <row r="51" customFormat="false" ht="45" hidden="false" customHeight="true" outlineLevel="0" collapsed="false">
      <c r="A51" s="19" t="s">
        <v>856</v>
      </c>
      <c r="B51" s="21" t="s">
        <v>53</v>
      </c>
      <c r="C51" s="5" t="s">
        <v>857</v>
      </c>
      <c r="D51" s="21" t="s">
        <v>858</v>
      </c>
      <c r="E51" s="21" t="s">
        <v>553</v>
      </c>
      <c r="F51" s="21" t="s">
        <v>830</v>
      </c>
      <c r="G51" s="21" t="s">
        <v>276</v>
      </c>
      <c r="H51" s="21" t="s">
        <v>642</v>
      </c>
      <c r="I51" s="42" t="s">
        <v>834</v>
      </c>
      <c r="J51" s="43" t="s">
        <v>859</v>
      </c>
      <c r="K51" s="19" t="s">
        <v>15</v>
      </c>
      <c r="L51" s="44" t="s">
        <v>5</v>
      </c>
      <c r="M51" s="19" t="s">
        <v>815</v>
      </c>
      <c r="N51" s="19" t="s">
        <v>671</v>
      </c>
      <c r="O51" s="19" t="n">
        <v>8</v>
      </c>
      <c r="P51" s="45" t="s">
        <v>101</v>
      </c>
      <c r="Q51" s="46"/>
    </row>
    <row r="52" customFormat="false" ht="60" hidden="false" customHeight="true" outlineLevel="0" collapsed="false">
      <c r="A52" s="20" t="s">
        <v>277</v>
      </c>
      <c r="B52" s="22" t="s">
        <v>53</v>
      </c>
      <c r="C52" s="8" t="s">
        <v>278</v>
      </c>
      <c r="D52" s="22" t="s">
        <v>860</v>
      </c>
      <c r="E52" s="22" t="s">
        <v>553</v>
      </c>
      <c r="F52" s="22" t="s">
        <v>830</v>
      </c>
      <c r="G52" s="22" t="s">
        <v>272</v>
      </c>
      <c r="H52" s="22" t="s">
        <v>642</v>
      </c>
      <c r="I52" s="47" t="s">
        <v>831</v>
      </c>
      <c r="J52" s="48" t="s">
        <v>861</v>
      </c>
      <c r="K52" s="20" t="s">
        <v>13</v>
      </c>
      <c r="L52" s="49" t="s">
        <v>5</v>
      </c>
      <c r="M52" s="20" t="s">
        <v>670</v>
      </c>
      <c r="N52" s="20" t="s">
        <v>671</v>
      </c>
      <c r="O52" s="20" t="n">
        <v>6</v>
      </c>
      <c r="P52" s="45" t="s">
        <v>101</v>
      </c>
      <c r="Q52" s="46"/>
    </row>
    <row r="53" customFormat="false" ht="60" hidden="false" customHeight="true" outlineLevel="0" collapsed="false">
      <c r="A53" s="19" t="s">
        <v>279</v>
      </c>
      <c r="B53" s="21" t="s">
        <v>53</v>
      </c>
      <c r="C53" s="5" t="s">
        <v>280</v>
      </c>
      <c r="D53" s="21" t="s">
        <v>862</v>
      </c>
      <c r="E53" s="21" t="s">
        <v>553</v>
      </c>
      <c r="F53" s="21" t="s">
        <v>830</v>
      </c>
      <c r="G53" s="21" t="s">
        <v>276</v>
      </c>
      <c r="H53" s="21" t="s">
        <v>642</v>
      </c>
      <c r="I53" s="42" t="s">
        <v>834</v>
      </c>
      <c r="J53" s="43" t="s">
        <v>863</v>
      </c>
      <c r="K53" s="19" t="s">
        <v>13</v>
      </c>
      <c r="L53" s="44" t="s">
        <v>5</v>
      </c>
      <c r="M53" s="19" t="s">
        <v>670</v>
      </c>
      <c r="N53" s="19" t="s">
        <v>671</v>
      </c>
      <c r="O53" s="19" t="n">
        <v>8</v>
      </c>
      <c r="P53" s="45" t="s">
        <v>101</v>
      </c>
      <c r="Q53" s="46"/>
    </row>
    <row r="54" customFormat="false" ht="45" hidden="false" customHeight="true" outlineLevel="0" collapsed="false">
      <c r="A54" s="20" t="s">
        <v>864</v>
      </c>
      <c r="B54" s="22" t="s">
        <v>53</v>
      </c>
      <c r="C54" s="8" t="s">
        <v>865</v>
      </c>
      <c r="D54" s="22" t="s">
        <v>866</v>
      </c>
      <c r="E54" s="22" t="s">
        <v>553</v>
      </c>
      <c r="F54" s="22" t="s">
        <v>830</v>
      </c>
      <c r="G54" s="22" t="s">
        <v>272</v>
      </c>
      <c r="H54" s="22" t="s">
        <v>642</v>
      </c>
      <c r="I54" s="47" t="s">
        <v>831</v>
      </c>
      <c r="J54" s="48" t="s">
        <v>867</v>
      </c>
      <c r="K54" s="20" t="s">
        <v>17</v>
      </c>
      <c r="L54" s="49" t="s">
        <v>129</v>
      </c>
      <c r="M54" s="20" t="s">
        <v>868</v>
      </c>
      <c r="N54" s="20" t="s">
        <v>671</v>
      </c>
      <c r="O54" s="20" t="n">
        <v>6</v>
      </c>
      <c r="P54" s="45" t="s">
        <v>101</v>
      </c>
      <c r="Q54" s="46"/>
    </row>
    <row r="55" customFormat="false" ht="60" hidden="false" customHeight="true" outlineLevel="0" collapsed="false">
      <c r="A55" s="19" t="s">
        <v>869</v>
      </c>
      <c r="B55" s="21" t="s">
        <v>53</v>
      </c>
      <c r="C55" s="5" t="s">
        <v>870</v>
      </c>
      <c r="D55" s="21" t="s">
        <v>871</v>
      </c>
      <c r="E55" s="21" t="s">
        <v>553</v>
      </c>
      <c r="F55" s="21" t="s">
        <v>830</v>
      </c>
      <c r="G55" s="21" t="s">
        <v>276</v>
      </c>
      <c r="H55" s="21" t="s">
        <v>642</v>
      </c>
      <c r="I55" s="42" t="s">
        <v>834</v>
      </c>
      <c r="J55" s="43" t="s">
        <v>872</v>
      </c>
      <c r="K55" s="19" t="s">
        <v>17</v>
      </c>
      <c r="L55" s="44" t="s">
        <v>129</v>
      </c>
      <c r="M55" s="19" t="s">
        <v>868</v>
      </c>
      <c r="N55" s="19" t="s">
        <v>671</v>
      </c>
      <c r="O55" s="19" t="n">
        <v>8</v>
      </c>
      <c r="P55" s="45" t="s">
        <v>101</v>
      </c>
      <c r="Q55" s="46"/>
    </row>
    <row r="56" customFormat="false" ht="45" hidden="false" customHeight="true" outlineLevel="0" collapsed="false">
      <c r="A56" s="20" t="s">
        <v>281</v>
      </c>
      <c r="B56" s="22" t="s">
        <v>53</v>
      </c>
      <c r="C56" s="8" t="s">
        <v>282</v>
      </c>
      <c r="D56" s="22" t="s">
        <v>873</v>
      </c>
      <c r="E56" s="22" t="s">
        <v>748</v>
      </c>
      <c r="F56" s="22" t="s">
        <v>874</v>
      </c>
      <c r="G56" s="22" t="s">
        <v>168</v>
      </c>
      <c r="H56" s="22" t="s">
        <v>642</v>
      </c>
      <c r="I56" s="47" t="s">
        <v>875</v>
      </c>
      <c r="J56" s="48" t="s">
        <v>876</v>
      </c>
      <c r="K56" s="20" t="s">
        <v>13</v>
      </c>
      <c r="L56" s="49" t="s">
        <v>5</v>
      </c>
      <c r="M56" s="20" t="s">
        <v>670</v>
      </c>
      <c r="N56" s="20" t="s">
        <v>671</v>
      </c>
      <c r="O56" s="20" t="n">
        <v>4</v>
      </c>
      <c r="P56" s="45" t="s">
        <v>101</v>
      </c>
      <c r="Q56" s="46"/>
    </row>
    <row r="57" customFormat="false" ht="60" hidden="false" customHeight="true" outlineLevel="0" collapsed="false">
      <c r="A57" s="19" t="s">
        <v>172</v>
      </c>
      <c r="B57" s="21" t="s">
        <v>55</v>
      </c>
      <c r="C57" s="5" t="s">
        <v>173</v>
      </c>
      <c r="D57" s="21" t="s">
        <v>877</v>
      </c>
      <c r="E57" s="21" t="s">
        <v>553</v>
      </c>
      <c r="F57" s="21" t="s">
        <v>878</v>
      </c>
      <c r="G57" s="21" t="s">
        <v>174</v>
      </c>
      <c r="H57" s="21" t="s">
        <v>642</v>
      </c>
      <c r="I57" s="42" t="s">
        <v>879</v>
      </c>
      <c r="J57" s="43" t="s">
        <v>880</v>
      </c>
      <c r="K57" s="19" t="s">
        <v>13</v>
      </c>
      <c r="L57" s="44" t="s">
        <v>5</v>
      </c>
      <c r="M57" s="19" t="s">
        <v>670</v>
      </c>
      <c r="N57" s="19" t="s">
        <v>671</v>
      </c>
      <c r="O57" s="19" t="n">
        <v>12</v>
      </c>
      <c r="P57" s="45" t="s">
        <v>101</v>
      </c>
      <c r="Q57" s="46"/>
    </row>
    <row r="58" customFormat="false" ht="45" hidden="false" customHeight="true" outlineLevel="0" collapsed="false">
      <c r="A58" s="20" t="s">
        <v>176</v>
      </c>
      <c r="B58" s="22" t="s">
        <v>55</v>
      </c>
      <c r="C58" s="8" t="s">
        <v>177</v>
      </c>
      <c r="D58" s="22" t="s">
        <v>881</v>
      </c>
      <c r="E58" s="22" t="s">
        <v>553</v>
      </c>
      <c r="F58" s="22" t="s">
        <v>878</v>
      </c>
      <c r="G58" s="22" t="s">
        <v>178</v>
      </c>
      <c r="H58" s="22" t="s">
        <v>642</v>
      </c>
      <c r="I58" s="47" t="s">
        <v>882</v>
      </c>
      <c r="J58" s="48" t="s">
        <v>883</v>
      </c>
      <c r="K58" s="20" t="s">
        <v>13</v>
      </c>
      <c r="L58" s="49" t="s">
        <v>5</v>
      </c>
      <c r="M58" s="20" t="s">
        <v>670</v>
      </c>
      <c r="N58" s="20" t="s">
        <v>671</v>
      </c>
      <c r="O58" s="20" t="n">
        <v>2</v>
      </c>
      <c r="P58" s="45" t="s">
        <v>101</v>
      </c>
      <c r="Q58" s="46"/>
    </row>
    <row r="59" customFormat="false" ht="45" hidden="false" customHeight="true" outlineLevel="0" collapsed="false">
      <c r="A59" s="19" t="s">
        <v>179</v>
      </c>
      <c r="B59" s="21" t="s">
        <v>55</v>
      </c>
      <c r="C59" s="5" t="s">
        <v>180</v>
      </c>
      <c r="D59" s="21" t="s">
        <v>884</v>
      </c>
      <c r="E59" s="21" t="s">
        <v>553</v>
      </c>
      <c r="F59" s="21" t="s">
        <v>803</v>
      </c>
      <c r="G59" s="21" t="s">
        <v>181</v>
      </c>
      <c r="H59" s="21" t="s">
        <v>885</v>
      </c>
      <c r="I59" s="42" t="s">
        <v>886</v>
      </c>
      <c r="J59" s="43" t="s">
        <v>887</v>
      </c>
      <c r="K59" s="19" t="s">
        <v>13</v>
      </c>
      <c r="L59" s="44" t="s">
        <v>5</v>
      </c>
      <c r="M59" s="19" t="s">
        <v>888</v>
      </c>
      <c r="N59" s="19" t="s">
        <v>671</v>
      </c>
      <c r="O59" s="19" t="n">
        <v>6</v>
      </c>
      <c r="P59" s="45" t="s">
        <v>101</v>
      </c>
      <c r="Q59" s="46"/>
    </row>
    <row r="60" customFormat="false" ht="45" hidden="false" customHeight="true" outlineLevel="0" collapsed="false">
      <c r="A60" s="20" t="s">
        <v>889</v>
      </c>
      <c r="B60" s="22" t="s">
        <v>55</v>
      </c>
      <c r="C60" s="8" t="s">
        <v>890</v>
      </c>
      <c r="D60" s="22" t="s">
        <v>891</v>
      </c>
      <c r="E60" s="22" t="s">
        <v>553</v>
      </c>
      <c r="F60" s="22" t="s">
        <v>744</v>
      </c>
      <c r="G60" s="22" t="s">
        <v>181</v>
      </c>
      <c r="H60" s="22" t="s">
        <v>892</v>
      </c>
      <c r="I60" s="47" t="s">
        <v>893</v>
      </c>
      <c r="J60" s="48" t="s">
        <v>894</v>
      </c>
      <c r="K60" s="20" t="s">
        <v>15</v>
      </c>
      <c r="L60" s="49" t="s">
        <v>5</v>
      </c>
      <c r="M60" s="20" t="s">
        <v>895</v>
      </c>
      <c r="N60" s="20" t="s">
        <v>646</v>
      </c>
      <c r="O60" s="20" t="n">
        <v>2</v>
      </c>
      <c r="P60" s="45" t="s">
        <v>101</v>
      </c>
      <c r="Q60" s="46"/>
    </row>
    <row r="61" customFormat="false" ht="45" hidden="false" customHeight="true" outlineLevel="0" collapsed="false">
      <c r="A61" s="19" t="s">
        <v>182</v>
      </c>
      <c r="B61" s="21" t="s">
        <v>55</v>
      </c>
      <c r="C61" s="5" t="s">
        <v>183</v>
      </c>
      <c r="D61" s="21" t="s">
        <v>896</v>
      </c>
      <c r="E61" s="21" t="s">
        <v>553</v>
      </c>
      <c r="F61" s="21" t="s">
        <v>878</v>
      </c>
      <c r="G61" s="21" t="s">
        <v>184</v>
      </c>
      <c r="H61" s="21" t="s">
        <v>642</v>
      </c>
      <c r="I61" s="42" t="s">
        <v>897</v>
      </c>
      <c r="J61" s="43" t="s">
        <v>898</v>
      </c>
      <c r="K61" s="19" t="s">
        <v>13</v>
      </c>
      <c r="L61" s="44" t="s">
        <v>5</v>
      </c>
      <c r="M61" s="19" t="s">
        <v>670</v>
      </c>
      <c r="N61" s="19" t="s">
        <v>646</v>
      </c>
      <c r="O61" s="19" t="n">
        <v>1</v>
      </c>
      <c r="P61" s="45" t="s">
        <v>101</v>
      </c>
      <c r="Q61" s="46"/>
    </row>
    <row r="62" customFormat="false" ht="45" hidden="false" customHeight="true" outlineLevel="0" collapsed="false">
      <c r="A62" s="20" t="s">
        <v>899</v>
      </c>
      <c r="B62" s="22" t="s">
        <v>55</v>
      </c>
      <c r="C62" s="8" t="s">
        <v>900</v>
      </c>
      <c r="D62" s="22" t="s">
        <v>901</v>
      </c>
      <c r="E62" s="22" t="s">
        <v>553</v>
      </c>
      <c r="F62" s="22" t="s">
        <v>803</v>
      </c>
      <c r="G62" s="22" t="s">
        <v>902</v>
      </c>
      <c r="H62" s="22" t="s">
        <v>903</v>
      </c>
      <c r="I62" s="47" t="s">
        <v>904</v>
      </c>
      <c r="J62" s="48" t="s">
        <v>905</v>
      </c>
      <c r="K62" s="20" t="s">
        <v>15</v>
      </c>
      <c r="L62" s="49" t="s">
        <v>129</v>
      </c>
      <c r="M62" s="20" t="s">
        <v>677</v>
      </c>
      <c r="N62" s="20" t="s">
        <v>646</v>
      </c>
      <c r="O62" s="20" t="n">
        <v>3</v>
      </c>
      <c r="P62" s="45" t="s">
        <v>101</v>
      </c>
      <c r="Q62" s="46"/>
    </row>
    <row r="63" customFormat="false" ht="45" hidden="false" customHeight="true" outlineLevel="0" collapsed="false">
      <c r="A63" s="19" t="s">
        <v>906</v>
      </c>
      <c r="B63" s="21" t="s">
        <v>55</v>
      </c>
      <c r="C63" s="5" t="s">
        <v>907</v>
      </c>
      <c r="D63" s="21" t="s">
        <v>908</v>
      </c>
      <c r="E63" s="21" t="s">
        <v>704</v>
      </c>
      <c r="F63" s="21" t="s">
        <v>744</v>
      </c>
      <c r="G63" s="21" t="s">
        <v>174</v>
      </c>
      <c r="H63" s="21" t="s">
        <v>909</v>
      </c>
      <c r="I63" s="42" t="s">
        <v>910</v>
      </c>
      <c r="J63" s="43" t="s">
        <v>911</v>
      </c>
      <c r="K63" s="19" t="s">
        <v>15</v>
      </c>
      <c r="L63" s="44" t="s">
        <v>5</v>
      </c>
      <c r="M63" s="19" t="s">
        <v>895</v>
      </c>
      <c r="N63" s="19" t="s">
        <v>646</v>
      </c>
      <c r="O63" s="19" t="n">
        <v>3</v>
      </c>
      <c r="P63" s="45" t="s">
        <v>101</v>
      </c>
      <c r="Q63" s="46"/>
    </row>
    <row r="64" customFormat="false" ht="45" hidden="false" customHeight="true" outlineLevel="0" collapsed="false">
      <c r="A64" s="20" t="s">
        <v>185</v>
      </c>
      <c r="B64" s="22" t="s">
        <v>55</v>
      </c>
      <c r="C64" s="8" t="s">
        <v>186</v>
      </c>
      <c r="D64" s="22" t="s">
        <v>912</v>
      </c>
      <c r="E64" s="22" t="s">
        <v>553</v>
      </c>
      <c r="F64" s="22" t="s">
        <v>803</v>
      </c>
      <c r="G64" s="22" t="s">
        <v>187</v>
      </c>
      <c r="H64" s="22" t="s">
        <v>913</v>
      </c>
      <c r="I64" s="47" t="s">
        <v>914</v>
      </c>
      <c r="J64" s="48" t="s">
        <v>915</v>
      </c>
      <c r="K64" s="20" t="s">
        <v>13</v>
      </c>
      <c r="L64" s="49" t="s">
        <v>5</v>
      </c>
      <c r="M64" s="20" t="s">
        <v>916</v>
      </c>
      <c r="N64" s="20" t="s">
        <v>646</v>
      </c>
      <c r="O64" s="20" t="n">
        <v>5</v>
      </c>
      <c r="P64" s="45" t="s">
        <v>101</v>
      </c>
      <c r="Q64" s="46"/>
    </row>
    <row r="65" customFormat="false" ht="45" hidden="false" customHeight="true" outlineLevel="0" collapsed="false">
      <c r="A65" s="19" t="s">
        <v>917</v>
      </c>
      <c r="B65" s="21" t="s">
        <v>55</v>
      </c>
      <c r="C65" s="5" t="s">
        <v>918</v>
      </c>
      <c r="D65" s="21" t="s">
        <v>919</v>
      </c>
      <c r="E65" s="21" t="s">
        <v>553</v>
      </c>
      <c r="F65" s="21" t="s">
        <v>803</v>
      </c>
      <c r="G65" s="21" t="s">
        <v>920</v>
      </c>
      <c r="H65" s="21" t="s">
        <v>921</v>
      </c>
      <c r="I65" s="42" t="s">
        <v>910</v>
      </c>
      <c r="J65" s="43" t="s">
        <v>922</v>
      </c>
      <c r="K65" s="19" t="s">
        <v>15</v>
      </c>
      <c r="L65" s="44" t="s">
        <v>5</v>
      </c>
      <c r="M65" s="19" t="s">
        <v>923</v>
      </c>
      <c r="N65" s="19" t="s">
        <v>646</v>
      </c>
      <c r="O65" s="19" t="n">
        <v>3</v>
      </c>
      <c r="P65" s="45" t="s">
        <v>101</v>
      </c>
      <c r="Q65" s="46"/>
    </row>
    <row r="66" customFormat="false" ht="45" hidden="false" customHeight="true" outlineLevel="0" collapsed="false">
      <c r="A66" s="20" t="s">
        <v>188</v>
      </c>
      <c r="B66" s="22" t="s">
        <v>55</v>
      </c>
      <c r="C66" s="8" t="s">
        <v>189</v>
      </c>
      <c r="D66" s="22" t="s">
        <v>924</v>
      </c>
      <c r="E66" s="22" t="s">
        <v>553</v>
      </c>
      <c r="F66" s="22" t="s">
        <v>803</v>
      </c>
      <c r="G66" s="22" t="s">
        <v>190</v>
      </c>
      <c r="H66" s="22" t="s">
        <v>925</v>
      </c>
      <c r="I66" s="47" t="s">
        <v>926</v>
      </c>
      <c r="J66" s="48" t="s">
        <v>927</v>
      </c>
      <c r="K66" s="20" t="s">
        <v>13</v>
      </c>
      <c r="L66" s="49" t="s">
        <v>5</v>
      </c>
      <c r="M66" s="20" t="s">
        <v>670</v>
      </c>
      <c r="N66" s="20" t="s">
        <v>646</v>
      </c>
      <c r="O66" s="20" t="n">
        <v>6</v>
      </c>
      <c r="P66" s="45" t="s">
        <v>101</v>
      </c>
      <c r="Q66" s="46"/>
    </row>
    <row r="67" customFormat="false" ht="45" hidden="false" customHeight="true" outlineLevel="0" collapsed="false">
      <c r="A67" s="19" t="s">
        <v>928</v>
      </c>
      <c r="B67" s="21" t="s">
        <v>55</v>
      </c>
      <c r="C67" s="5" t="s">
        <v>929</v>
      </c>
      <c r="D67" s="21" t="s">
        <v>930</v>
      </c>
      <c r="E67" s="21" t="s">
        <v>748</v>
      </c>
      <c r="F67" s="21" t="s">
        <v>732</v>
      </c>
      <c r="G67" s="21" t="s">
        <v>931</v>
      </c>
      <c r="H67" s="21" t="s">
        <v>642</v>
      </c>
      <c r="I67" s="42" t="s">
        <v>932</v>
      </c>
      <c r="J67" s="43" t="s">
        <v>933</v>
      </c>
      <c r="K67" s="19" t="s">
        <v>17</v>
      </c>
      <c r="L67" s="44" t="s">
        <v>5</v>
      </c>
      <c r="M67" s="19" t="s">
        <v>934</v>
      </c>
      <c r="N67" s="19" t="s">
        <v>671</v>
      </c>
      <c r="O67" s="19" t="n">
        <v>2</v>
      </c>
      <c r="P67" s="45" t="s">
        <v>101</v>
      </c>
      <c r="Q67" s="46"/>
    </row>
    <row r="68" customFormat="false" ht="45" hidden="false" customHeight="true" outlineLevel="0" collapsed="false">
      <c r="A68" s="20" t="s">
        <v>935</v>
      </c>
      <c r="B68" s="22" t="s">
        <v>55</v>
      </c>
      <c r="C68" s="8" t="s">
        <v>936</v>
      </c>
      <c r="D68" s="22" t="s">
        <v>937</v>
      </c>
      <c r="E68" s="22" t="s">
        <v>601</v>
      </c>
      <c r="F68" s="22" t="s">
        <v>803</v>
      </c>
      <c r="G68" s="22" t="s">
        <v>938</v>
      </c>
      <c r="H68" s="22" t="s">
        <v>921</v>
      </c>
      <c r="I68" s="47" t="s">
        <v>939</v>
      </c>
      <c r="J68" s="48" t="s">
        <v>940</v>
      </c>
      <c r="K68" s="20" t="s">
        <v>15</v>
      </c>
      <c r="L68" s="49" t="s">
        <v>5</v>
      </c>
      <c r="M68" s="20" t="s">
        <v>941</v>
      </c>
      <c r="N68" s="20" t="s">
        <v>671</v>
      </c>
      <c r="O68" s="20" t="n">
        <v>6</v>
      </c>
      <c r="P68" s="45" t="s">
        <v>101</v>
      </c>
      <c r="Q68" s="46"/>
    </row>
    <row r="69" customFormat="false" ht="45" hidden="false" customHeight="true" outlineLevel="0" collapsed="false">
      <c r="A69" s="19" t="s">
        <v>191</v>
      </c>
      <c r="B69" s="21" t="s">
        <v>55</v>
      </c>
      <c r="C69" s="5" t="s">
        <v>192</v>
      </c>
      <c r="D69" s="21" t="s">
        <v>942</v>
      </c>
      <c r="E69" s="21" t="s">
        <v>79</v>
      </c>
      <c r="F69" s="21" t="s">
        <v>943</v>
      </c>
      <c r="G69" s="21" t="s">
        <v>193</v>
      </c>
      <c r="H69" s="21" t="s">
        <v>642</v>
      </c>
      <c r="I69" s="42" t="s">
        <v>944</v>
      </c>
      <c r="J69" s="43" t="s">
        <v>945</v>
      </c>
      <c r="K69" s="19" t="s">
        <v>13</v>
      </c>
      <c r="L69" s="44" t="s">
        <v>5</v>
      </c>
      <c r="M69" s="19" t="s">
        <v>815</v>
      </c>
      <c r="N69" s="19" t="s">
        <v>646</v>
      </c>
      <c r="O69" s="19" t="n">
        <v>1</v>
      </c>
      <c r="P69" s="45" t="s">
        <v>101</v>
      </c>
      <c r="Q69" s="46"/>
    </row>
    <row r="70" customFormat="false" ht="45" hidden="false" customHeight="true" outlineLevel="0" collapsed="false">
      <c r="A70" s="20" t="s">
        <v>946</v>
      </c>
      <c r="B70" s="22" t="s">
        <v>57</v>
      </c>
      <c r="C70" s="8" t="s">
        <v>947</v>
      </c>
      <c r="D70" s="22" t="s">
        <v>948</v>
      </c>
      <c r="E70" s="22" t="s">
        <v>949</v>
      </c>
      <c r="F70" s="22" t="s">
        <v>950</v>
      </c>
      <c r="G70" s="22" t="s">
        <v>951</v>
      </c>
      <c r="H70" s="22" t="s">
        <v>812</v>
      </c>
      <c r="I70" s="47" t="s">
        <v>952</v>
      </c>
      <c r="J70" s="48" t="s">
        <v>953</v>
      </c>
      <c r="K70" s="20" t="s">
        <v>15</v>
      </c>
      <c r="L70" s="49" t="s">
        <v>5</v>
      </c>
      <c r="M70" s="20" t="s">
        <v>677</v>
      </c>
      <c r="N70" s="20" t="s">
        <v>646</v>
      </c>
      <c r="O70" s="20" t="n">
        <v>2</v>
      </c>
      <c r="P70" s="45" t="s">
        <v>101</v>
      </c>
      <c r="Q70" s="46"/>
    </row>
    <row r="71" customFormat="false" ht="45" hidden="false" customHeight="true" outlineLevel="0" collapsed="false">
      <c r="A71" s="19" t="s">
        <v>954</v>
      </c>
      <c r="B71" s="21" t="s">
        <v>57</v>
      </c>
      <c r="C71" s="5" t="s">
        <v>955</v>
      </c>
      <c r="D71" s="21" t="s">
        <v>956</v>
      </c>
      <c r="E71" s="21" t="s">
        <v>957</v>
      </c>
      <c r="F71" s="21" t="s">
        <v>950</v>
      </c>
      <c r="G71" s="21" t="s">
        <v>951</v>
      </c>
      <c r="H71" s="21" t="s">
        <v>726</v>
      </c>
      <c r="I71" s="42" t="s">
        <v>783</v>
      </c>
      <c r="J71" s="43" t="s">
        <v>958</v>
      </c>
      <c r="K71" s="19" t="s">
        <v>15</v>
      </c>
      <c r="L71" s="44" t="s">
        <v>5</v>
      </c>
      <c r="M71" s="19" t="s">
        <v>723</v>
      </c>
      <c r="N71" s="19" t="s">
        <v>646</v>
      </c>
      <c r="O71" s="19" t="n">
        <v>2</v>
      </c>
      <c r="P71" s="45" t="s">
        <v>101</v>
      </c>
      <c r="Q71" s="46"/>
    </row>
    <row r="72" customFormat="false" ht="45" hidden="false" customHeight="true" outlineLevel="0" collapsed="false">
      <c r="A72" s="20" t="s">
        <v>959</v>
      </c>
      <c r="B72" s="22" t="s">
        <v>57</v>
      </c>
      <c r="C72" s="8" t="s">
        <v>960</v>
      </c>
      <c r="D72" s="22" t="s">
        <v>961</v>
      </c>
      <c r="E72" s="22" t="s">
        <v>553</v>
      </c>
      <c r="F72" s="22" t="s">
        <v>739</v>
      </c>
      <c r="G72" s="22" t="s">
        <v>962</v>
      </c>
      <c r="H72" s="22" t="s">
        <v>963</v>
      </c>
      <c r="I72" s="47" t="s">
        <v>964</v>
      </c>
      <c r="J72" s="48" t="s">
        <v>965</v>
      </c>
      <c r="K72" s="20" t="s">
        <v>15</v>
      </c>
      <c r="L72" s="49" t="s">
        <v>5</v>
      </c>
      <c r="M72" s="20" t="s">
        <v>706</v>
      </c>
      <c r="N72" s="20" t="s">
        <v>646</v>
      </c>
      <c r="O72" s="20" t="n">
        <v>3</v>
      </c>
      <c r="P72" s="45" t="s">
        <v>101</v>
      </c>
      <c r="Q72" s="46"/>
    </row>
    <row r="73" customFormat="false" ht="45" hidden="false" customHeight="true" outlineLevel="0" collapsed="false">
      <c r="A73" s="19" t="s">
        <v>966</v>
      </c>
      <c r="B73" s="21" t="s">
        <v>57</v>
      </c>
      <c r="C73" s="5" t="s">
        <v>967</v>
      </c>
      <c r="D73" s="21" t="s">
        <v>968</v>
      </c>
      <c r="E73" s="21" t="s">
        <v>553</v>
      </c>
      <c r="F73" s="21" t="s">
        <v>739</v>
      </c>
      <c r="G73" s="21" t="s">
        <v>969</v>
      </c>
      <c r="H73" s="21" t="s">
        <v>963</v>
      </c>
      <c r="I73" s="42" t="s">
        <v>970</v>
      </c>
      <c r="J73" s="43" t="s">
        <v>971</v>
      </c>
      <c r="K73" s="19" t="s">
        <v>15</v>
      </c>
      <c r="L73" s="44" t="s">
        <v>5</v>
      </c>
      <c r="M73" s="19" t="s">
        <v>706</v>
      </c>
      <c r="N73" s="19" t="s">
        <v>646</v>
      </c>
      <c r="O73" s="19" t="n">
        <v>4</v>
      </c>
      <c r="P73" s="45" t="s">
        <v>101</v>
      </c>
      <c r="Q73" s="46"/>
    </row>
    <row r="74" customFormat="false" ht="45" hidden="false" customHeight="true" outlineLevel="0" collapsed="false">
      <c r="A74" s="20" t="s">
        <v>972</v>
      </c>
      <c r="B74" s="22" t="s">
        <v>57</v>
      </c>
      <c r="C74" s="8" t="s">
        <v>973</v>
      </c>
      <c r="D74" s="22" t="s">
        <v>974</v>
      </c>
      <c r="E74" s="22" t="s">
        <v>553</v>
      </c>
      <c r="F74" s="22" t="s">
        <v>803</v>
      </c>
      <c r="G74" s="22" t="s">
        <v>975</v>
      </c>
      <c r="H74" s="22" t="s">
        <v>976</v>
      </c>
      <c r="I74" s="47" t="s">
        <v>977</v>
      </c>
      <c r="J74" s="48" t="s">
        <v>978</v>
      </c>
      <c r="K74" s="20" t="s">
        <v>15</v>
      </c>
      <c r="L74" s="49" t="s">
        <v>129</v>
      </c>
      <c r="M74" s="20" t="s">
        <v>706</v>
      </c>
      <c r="N74" s="20" t="s">
        <v>646</v>
      </c>
      <c r="O74" s="20" t="n">
        <v>1</v>
      </c>
      <c r="P74" s="45" t="s">
        <v>101</v>
      </c>
      <c r="Q74" s="46"/>
    </row>
    <row r="75" customFormat="false" ht="45" hidden="false" customHeight="true" outlineLevel="0" collapsed="false">
      <c r="A75" s="19" t="s">
        <v>979</v>
      </c>
      <c r="B75" s="21" t="s">
        <v>57</v>
      </c>
      <c r="C75" s="5" t="s">
        <v>980</v>
      </c>
      <c r="D75" s="21" t="s">
        <v>981</v>
      </c>
      <c r="E75" s="21" t="s">
        <v>982</v>
      </c>
      <c r="F75" s="21" t="s">
        <v>803</v>
      </c>
      <c r="G75" s="21" t="s">
        <v>983</v>
      </c>
      <c r="H75" s="21" t="s">
        <v>773</v>
      </c>
      <c r="I75" s="42" t="s">
        <v>984</v>
      </c>
      <c r="J75" s="43" t="s">
        <v>985</v>
      </c>
      <c r="K75" s="19" t="s">
        <v>15</v>
      </c>
      <c r="L75" s="44" t="s">
        <v>5</v>
      </c>
      <c r="M75" s="19" t="s">
        <v>986</v>
      </c>
      <c r="N75" s="19" t="s">
        <v>646</v>
      </c>
      <c r="O75" s="19" t="n">
        <v>1</v>
      </c>
      <c r="P75" s="45" t="s">
        <v>101</v>
      </c>
      <c r="Q75" s="46"/>
    </row>
    <row r="76" customFormat="false" ht="45" hidden="false" customHeight="true" outlineLevel="0" collapsed="false">
      <c r="A76" s="20" t="s">
        <v>362</v>
      </c>
      <c r="B76" s="22" t="s">
        <v>57</v>
      </c>
      <c r="C76" s="8" t="s">
        <v>363</v>
      </c>
      <c r="D76" s="22" t="s">
        <v>987</v>
      </c>
      <c r="E76" s="22" t="s">
        <v>651</v>
      </c>
      <c r="F76" s="22" t="s">
        <v>988</v>
      </c>
      <c r="G76" s="22" t="s">
        <v>364</v>
      </c>
      <c r="H76" s="22" t="s">
        <v>989</v>
      </c>
      <c r="I76" s="47" t="s">
        <v>990</v>
      </c>
      <c r="J76" s="48" t="s">
        <v>991</v>
      </c>
      <c r="K76" s="20" t="s">
        <v>13</v>
      </c>
      <c r="L76" s="49" t="s">
        <v>5</v>
      </c>
      <c r="M76" s="20" t="s">
        <v>670</v>
      </c>
      <c r="N76" s="20" t="s">
        <v>646</v>
      </c>
      <c r="O76" s="20" t="n">
        <v>1</v>
      </c>
      <c r="P76" s="45" t="s">
        <v>101</v>
      </c>
      <c r="Q76" s="46"/>
    </row>
    <row r="77" customFormat="false" ht="60" hidden="false" customHeight="true" outlineLevel="0" collapsed="false">
      <c r="A77" s="19" t="s">
        <v>194</v>
      </c>
      <c r="B77" s="21" t="s">
        <v>59</v>
      </c>
      <c r="C77" s="5" t="s">
        <v>195</v>
      </c>
      <c r="D77" s="21" t="s">
        <v>992</v>
      </c>
      <c r="E77" s="21" t="s">
        <v>558</v>
      </c>
      <c r="F77" s="21" t="s">
        <v>878</v>
      </c>
      <c r="G77" s="21" t="s">
        <v>196</v>
      </c>
      <c r="H77" s="21" t="s">
        <v>642</v>
      </c>
      <c r="I77" s="42" t="s">
        <v>993</v>
      </c>
      <c r="J77" s="43" t="s">
        <v>994</v>
      </c>
      <c r="K77" s="19" t="s">
        <v>13</v>
      </c>
      <c r="L77" s="44" t="s">
        <v>5</v>
      </c>
      <c r="M77" s="19" t="s">
        <v>694</v>
      </c>
      <c r="N77" s="19" t="s">
        <v>646</v>
      </c>
      <c r="O77" s="19" t="n">
        <v>10</v>
      </c>
      <c r="P77" s="45" t="s">
        <v>101</v>
      </c>
      <c r="Q77" s="46"/>
    </row>
    <row r="78" customFormat="false" ht="45" hidden="false" customHeight="true" outlineLevel="0" collapsed="false">
      <c r="A78" s="20" t="s">
        <v>198</v>
      </c>
      <c r="B78" s="22" t="s">
        <v>59</v>
      </c>
      <c r="C78" s="8" t="s">
        <v>199</v>
      </c>
      <c r="D78" s="22" t="s">
        <v>995</v>
      </c>
      <c r="E78" s="22" t="s">
        <v>558</v>
      </c>
      <c r="F78" s="22" t="s">
        <v>744</v>
      </c>
      <c r="G78" s="22" t="s">
        <v>196</v>
      </c>
      <c r="H78" s="22" t="s">
        <v>996</v>
      </c>
      <c r="I78" s="47" t="s">
        <v>997</v>
      </c>
      <c r="J78" s="48" t="s">
        <v>998</v>
      </c>
      <c r="K78" s="20" t="s">
        <v>13</v>
      </c>
      <c r="L78" s="49" t="s">
        <v>5</v>
      </c>
      <c r="M78" s="20" t="s">
        <v>986</v>
      </c>
      <c r="N78" s="20" t="s">
        <v>646</v>
      </c>
      <c r="O78" s="20" t="n">
        <v>2</v>
      </c>
      <c r="P78" s="45" t="s">
        <v>101</v>
      </c>
      <c r="Q78" s="46"/>
    </row>
    <row r="79" customFormat="false" ht="45" hidden="false" customHeight="true" outlineLevel="0" collapsed="false">
      <c r="A79" s="19" t="s">
        <v>200</v>
      </c>
      <c r="B79" s="21" t="s">
        <v>59</v>
      </c>
      <c r="C79" s="5" t="s">
        <v>201</v>
      </c>
      <c r="D79" s="21" t="s">
        <v>999</v>
      </c>
      <c r="E79" s="21" t="s">
        <v>558</v>
      </c>
      <c r="F79" s="21" t="s">
        <v>878</v>
      </c>
      <c r="G79" s="21" t="s">
        <v>202</v>
      </c>
      <c r="H79" s="21" t="s">
        <v>1000</v>
      </c>
      <c r="I79" s="42" t="s">
        <v>1001</v>
      </c>
      <c r="J79" s="43" t="s">
        <v>1002</v>
      </c>
      <c r="K79" s="19" t="s">
        <v>13</v>
      </c>
      <c r="L79" s="44" t="s">
        <v>5</v>
      </c>
      <c r="M79" s="19" t="s">
        <v>694</v>
      </c>
      <c r="N79" s="19" t="s">
        <v>646</v>
      </c>
      <c r="O79" s="19" t="n">
        <v>4</v>
      </c>
      <c r="P79" s="45" t="s">
        <v>101</v>
      </c>
      <c r="Q79" s="46"/>
    </row>
    <row r="80" customFormat="false" ht="45" hidden="false" customHeight="true" outlineLevel="0" collapsed="false">
      <c r="A80" s="20" t="s">
        <v>203</v>
      </c>
      <c r="B80" s="22" t="s">
        <v>59</v>
      </c>
      <c r="C80" s="8" t="s">
        <v>204</v>
      </c>
      <c r="D80" s="22" t="s">
        <v>1003</v>
      </c>
      <c r="E80" s="22" t="s">
        <v>558</v>
      </c>
      <c r="F80" s="22" t="s">
        <v>803</v>
      </c>
      <c r="G80" s="22" t="s">
        <v>205</v>
      </c>
      <c r="H80" s="22" t="s">
        <v>1004</v>
      </c>
      <c r="I80" s="47" t="s">
        <v>1005</v>
      </c>
      <c r="J80" s="48" t="s">
        <v>1006</v>
      </c>
      <c r="K80" s="20" t="s">
        <v>13</v>
      </c>
      <c r="L80" s="49" t="s">
        <v>5</v>
      </c>
      <c r="M80" s="20" t="s">
        <v>694</v>
      </c>
      <c r="N80" s="20" t="s">
        <v>646</v>
      </c>
      <c r="O80" s="20" t="n">
        <v>2</v>
      </c>
      <c r="P80" s="45" t="s">
        <v>101</v>
      </c>
      <c r="Q80" s="46"/>
    </row>
    <row r="81" customFormat="false" ht="45" hidden="false" customHeight="true" outlineLevel="0" collapsed="false">
      <c r="A81" s="19" t="s">
        <v>206</v>
      </c>
      <c r="B81" s="21" t="s">
        <v>59</v>
      </c>
      <c r="C81" s="5" t="s">
        <v>207</v>
      </c>
      <c r="D81" s="21" t="s">
        <v>1007</v>
      </c>
      <c r="E81" s="21" t="s">
        <v>558</v>
      </c>
      <c r="F81" s="21" t="s">
        <v>744</v>
      </c>
      <c r="G81" s="21" t="s">
        <v>208</v>
      </c>
      <c r="H81" s="21" t="s">
        <v>1008</v>
      </c>
      <c r="I81" s="42" t="s">
        <v>1009</v>
      </c>
      <c r="J81" s="43" t="s">
        <v>1010</v>
      </c>
      <c r="K81" s="19" t="s">
        <v>13</v>
      </c>
      <c r="L81" s="44" t="s">
        <v>5</v>
      </c>
      <c r="M81" s="19" t="s">
        <v>694</v>
      </c>
      <c r="N81" s="19" t="s">
        <v>646</v>
      </c>
      <c r="O81" s="19" t="n">
        <v>1</v>
      </c>
      <c r="P81" s="45" t="s">
        <v>101</v>
      </c>
      <c r="Q81" s="46"/>
    </row>
    <row r="82" customFormat="false" ht="45" hidden="false" customHeight="true" outlineLevel="0" collapsed="false">
      <c r="A82" s="20" t="s">
        <v>209</v>
      </c>
      <c r="B82" s="22" t="s">
        <v>59</v>
      </c>
      <c r="C82" s="8" t="s">
        <v>210</v>
      </c>
      <c r="D82" s="22" t="s">
        <v>1011</v>
      </c>
      <c r="E82" s="22" t="s">
        <v>1012</v>
      </c>
      <c r="F82" s="22" t="s">
        <v>1013</v>
      </c>
      <c r="G82" s="22" t="s">
        <v>145</v>
      </c>
      <c r="H82" s="22" t="s">
        <v>1014</v>
      </c>
      <c r="I82" s="47" t="s">
        <v>944</v>
      </c>
      <c r="J82" s="48" t="s">
        <v>1015</v>
      </c>
      <c r="K82" s="20" t="s">
        <v>13</v>
      </c>
      <c r="L82" s="49" t="s">
        <v>5</v>
      </c>
      <c r="M82" s="20" t="s">
        <v>694</v>
      </c>
      <c r="N82" s="20" t="s">
        <v>646</v>
      </c>
      <c r="O82" s="20" t="n">
        <v>2</v>
      </c>
      <c r="P82" s="45" t="s">
        <v>101</v>
      </c>
      <c r="Q82" s="46"/>
    </row>
    <row r="83" customFormat="false" ht="45" hidden="false" customHeight="true" outlineLevel="0" collapsed="false">
      <c r="A83" s="19" t="s">
        <v>211</v>
      </c>
      <c r="B83" s="21" t="s">
        <v>59</v>
      </c>
      <c r="C83" s="5" t="s">
        <v>212</v>
      </c>
      <c r="D83" s="21" t="s">
        <v>1016</v>
      </c>
      <c r="E83" s="21" t="s">
        <v>563</v>
      </c>
      <c r="F83" s="21" t="s">
        <v>878</v>
      </c>
      <c r="G83" s="21" t="s">
        <v>196</v>
      </c>
      <c r="H83" s="21" t="s">
        <v>642</v>
      </c>
      <c r="I83" s="42" t="s">
        <v>1017</v>
      </c>
      <c r="J83" s="43" t="s">
        <v>1018</v>
      </c>
      <c r="K83" s="19" t="s">
        <v>13</v>
      </c>
      <c r="L83" s="44" t="s">
        <v>5</v>
      </c>
      <c r="M83" s="19" t="s">
        <v>735</v>
      </c>
      <c r="N83" s="19" t="s">
        <v>646</v>
      </c>
      <c r="O83" s="19" t="n">
        <v>8</v>
      </c>
      <c r="P83" s="45" t="s">
        <v>101</v>
      </c>
      <c r="Q83" s="46"/>
    </row>
    <row r="84" customFormat="false" ht="45" hidden="false" customHeight="true" outlineLevel="0" collapsed="false">
      <c r="A84" s="20" t="s">
        <v>213</v>
      </c>
      <c r="B84" s="22" t="s">
        <v>59</v>
      </c>
      <c r="C84" s="8" t="s">
        <v>214</v>
      </c>
      <c r="D84" s="22" t="s">
        <v>1019</v>
      </c>
      <c r="E84" s="22" t="s">
        <v>563</v>
      </c>
      <c r="F84" s="22" t="s">
        <v>744</v>
      </c>
      <c r="G84" s="22" t="s">
        <v>196</v>
      </c>
      <c r="H84" s="22" t="s">
        <v>1020</v>
      </c>
      <c r="I84" s="47" t="s">
        <v>1021</v>
      </c>
      <c r="J84" s="48" t="s">
        <v>1022</v>
      </c>
      <c r="K84" s="20" t="s">
        <v>13</v>
      </c>
      <c r="L84" s="49" t="s">
        <v>5</v>
      </c>
      <c r="M84" s="20" t="s">
        <v>735</v>
      </c>
      <c r="N84" s="20" t="s">
        <v>646</v>
      </c>
      <c r="O84" s="20" t="n">
        <v>2</v>
      </c>
      <c r="P84" s="45" t="s">
        <v>101</v>
      </c>
      <c r="Q84" s="46"/>
    </row>
    <row r="85" customFormat="false" ht="45" hidden="false" customHeight="true" outlineLevel="0" collapsed="false">
      <c r="A85" s="19" t="s">
        <v>215</v>
      </c>
      <c r="B85" s="21" t="s">
        <v>59</v>
      </c>
      <c r="C85" s="5" t="s">
        <v>216</v>
      </c>
      <c r="D85" s="21" t="s">
        <v>1023</v>
      </c>
      <c r="E85" s="21" t="s">
        <v>563</v>
      </c>
      <c r="F85" s="21" t="s">
        <v>803</v>
      </c>
      <c r="G85" s="21" t="s">
        <v>217</v>
      </c>
      <c r="H85" s="21" t="s">
        <v>1000</v>
      </c>
      <c r="I85" s="42" t="s">
        <v>1024</v>
      </c>
      <c r="J85" s="43" t="s">
        <v>1025</v>
      </c>
      <c r="K85" s="19" t="s">
        <v>13</v>
      </c>
      <c r="L85" s="44" t="s">
        <v>5</v>
      </c>
      <c r="M85" s="19" t="s">
        <v>735</v>
      </c>
      <c r="N85" s="19" t="s">
        <v>646</v>
      </c>
      <c r="O85" s="19" t="n">
        <v>1</v>
      </c>
      <c r="P85" s="45" t="s">
        <v>101</v>
      </c>
      <c r="Q85" s="46"/>
    </row>
    <row r="86" customFormat="false" ht="45" hidden="false" customHeight="true" outlineLevel="0" collapsed="false">
      <c r="A86" s="20" t="s">
        <v>218</v>
      </c>
      <c r="B86" s="22" t="s">
        <v>59</v>
      </c>
      <c r="C86" s="8" t="s">
        <v>219</v>
      </c>
      <c r="D86" s="22" t="s">
        <v>1026</v>
      </c>
      <c r="E86" s="22" t="s">
        <v>563</v>
      </c>
      <c r="F86" s="22" t="s">
        <v>803</v>
      </c>
      <c r="G86" s="22" t="s">
        <v>220</v>
      </c>
      <c r="H86" s="22" t="s">
        <v>1000</v>
      </c>
      <c r="I86" s="47" t="s">
        <v>1027</v>
      </c>
      <c r="J86" s="48" t="s">
        <v>1028</v>
      </c>
      <c r="K86" s="20" t="s">
        <v>13</v>
      </c>
      <c r="L86" s="49" t="s">
        <v>5</v>
      </c>
      <c r="M86" s="20" t="s">
        <v>735</v>
      </c>
      <c r="N86" s="20" t="s">
        <v>646</v>
      </c>
      <c r="O86" s="20" t="n">
        <v>4</v>
      </c>
      <c r="P86" s="45" t="s">
        <v>101</v>
      </c>
      <c r="Q86" s="46"/>
    </row>
    <row r="87" customFormat="false" ht="45" hidden="false" customHeight="true" outlineLevel="0" collapsed="false">
      <c r="A87" s="19" t="s">
        <v>283</v>
      </c>
      <c r="B87" s="21" t="s">
        <v>61</v>
      </c>
      <c r="C87" s="5" t="s">
        <v>284</v>
      </c>
      <c r="D87" s="21" t="s">
        <v>1029</v>
      </c>
      <c r="E87" s="21" t="s">
        <v>567</v>
      </c>
      <c r="F87" s="21" t="s">
        <v>666</v>
      </c>
      <c r="G87" s="21" t="s">
        <v>667</v>
      </c>
      <c r="H87" s="21" t="s">
        <v>1030</v>
      </c>
      <c r="I87" s="42" t="s">
        <v>1031</v>
      </c>
      <c r="J87" s="43" t="s">
        <v>1032</v>
      </c>
      <c r="K87" s="19" t="s">
        <v>13</v>
      </c>
      <c r="L87" s="44" t="s">
        <v>5</v>
      </c>
      <c r="M87" s="19" t="s">
        <v>1033</v>
      </c>
      <c r="N87" s="19" t="s">
        <v>671</v>
      </c>
      <c r="O87" s="19" t="n">
        <v>6</v>
      </c>
      <c r="P87" s="45" t="s">
        <v>101</v>
      </c>
      <c r="Q87" s="46"/>
    </row>
    <row r="88" customFormat="false" ht="45" hidden="false" customHeight="true" outlineLevel="0" collapsed="false">
      <c r="A88" s="20" t="s">
        <v>295</v>
      </c>
      <c r="B88" s="22" t="s">
        <v>61</v>
      </c>
      <c r="C88" s="8" t="s">
        <v>296</v>
      </c>
      <c r="D88" s="22" t="s">
        <v>1034</v>
      </c>
      <c r="E88" s="22" t="s">
        <v>567</v>
      </c>
      <c r="F88" s="22" t="s">
        <v>803</v>
      </c>
      <c r="G88" s="22" t="s">
        <v>297</v>
      </c>
      <c r="H88" s="22" t="s">
        <v>773</v>
      </c>
      <c r="I88" s="47" t="s">
        <v>1035</v>
      </c>
      <c r="J88" s="48" t="s">
        <v>1036</v>
      </c>
      <c r="K88" s="20" t="s">
        <v>13</v>
      </c>
      <c r="L88" s="49" t="s">
        <v>129</v>
      </c>
      <c r="M88" s="20" t="s">
        <v>1033</v>
      </c>
      <c r="N88" s="20" t="s">
        <v>646</v>
      </c>
      <c r="O88" s="20" t="n">
        <v>1</v>
      </c>
      <c r="P88" s="45" t="s">
        <v>101</v>
      </c>
      <c r="Q88" s="46"/>
    </row>
    <row r="89" customFormat="false" ht="45" hidden="false" customHeight="true" outlineLevel="0" collapsed="false">
      <c r="A89" s="19" t="s">
        <v>286</v>
      </c>
      <c r="B89" s="21" t="s">
        <v>61</v>
      </c>
      <c r="C89" s="5" t="s">
        <v>287</v>
      </c>
      <c r="D89" s="21" t="s">
        <v>1037</v>
      </c>
      <c r="E89" s="21" t="s">
        <v>567</v>
      </c>
      <c r="F89" s="21" t="s">
        <v>878</v>
      </c>
      <c r="G89" s="21" t="s">
        <v>288</v>
      </c>
      <c r="H89" s="21" t="s">
        <v>1038</v>
      </c>
      <c r="I89" s="42" t="s">
        <v>1039</v>
      </c>
      <c r="J89" s="43" t="s">
        <v>1040</v>
      </c>
      <c r="K89" s="19" t="s">
        <v>13</v>
      </c>
      <c r="L89" s="44" t="s">
        <v>5</v>
      </c>
      <c r="M89" s="19" t="s">
        <v>1033</v>
      </c>
      <c r="N89" s="19" t="s">
        <v>646</v>
      </c>
      <c r="O89" s="19" t="n">
        <v>5</v>
      </c>
      <c r="P89" s="45" t="s">
        <v>101</v>
      </c>
      <c r="Q89" s="46"/>
    </row>
    <row r="90" customFormat="false" ht="45" hidden="false" customHeight="true" outlineLevel="0" collapsed="false">
      <c r="A90" s="20" t="s">
        <v>289</v>
      </c>
      <c r="B90" s="22" t="s">
        <v>61</v>
      </c>
      <c r="C90" s="8" t="s">
        <v>290</v>
      </c>
      <c r="D90" s="22" t="s">
        <v>1041</v>
      </c>
      <c r="E90" s="22" t="s">
        <v>567</v>
      </c>
      <c r="F90" s="22" t="s">
        <v>803</v>
      </c>
      <c r="G90" s="22" t="s">
        <v>291</v>
      </c>
      <c r="H90" s="22" t="s">
        <v>1042</v>
      </c>
      <c r="I90" s="47" t="s">
        <v>1043</v>
      </c>
      <c r="J90" s="48" t="s">
        <v>1044</v>
      </c>
      <c r="K90" s="20" t="s">
        <v>13</v>
      </c>
      <c r="L90" s="49" t="s">
        <v>5</v>
      </c>
      <c r="M90" s="20" t="s">
        <v>1033</v>
      </c>
      <c r="N90" s="20" t="s">
        <v>646</v>
      </c>
      <c r="O90" s="20" t="n">
        <v>1</v>
      </c>
      <c r="P90" s="45" t="s">
        <v>101</v>
      </c>
      <c r="Q90" s="46"/>
    </row>
    <row r="91" customFormat="false" ht="45" hidden="false" customHeight="true" outlineLevel="0" collapsed="false">
      <c r="A91" s="19" t="s">
        <v>292</v>
      </c>
      <c r="B91" s="21" t="s">
        <v>61</v>
      </c>
      <c r="C91" s="5" t="s">
        <v>293</v>
      </c>
      <c r="D91" s="21" t="s">
        <v>1045</v>
      </c>
      <c r="E91" s="21" t="s">
        <v>1046</v>
      </c>
      <c r="F91" s="21" t="s">
        <v>739</v>
      </c>
      <c r="G91" s="21" t="s">
        <v>294</v>
      </c>
      <c r="H91" s="21" t="s">
        <v>1047</v>
      </c>
      <c r="I91" s="42" t="s">
        <v>1048</v>
      </c>
      <c r="J91" s="43" t="s">
        <v>1049</v>
      </c>
      <c r="K91" s="19" t="s">
        <v>13</v>
      </c>
      <c r="L91" s="44" t="s">
        <v>5</v>
      </c>
      <c r="M91" s="19" t="s">
        <v>1033</v>
      </c>
      <c r="N91" s="19" t="s">
        <v>646</v>
      </c>
      <c r="O91" s="19" t="n">
        <v>8</v>
      </c>
      <c r="P91" s="45" t="s">
        <v>101</v>
      </c>
      <c r="Q91" s="46"/>
    </row>
    <row r="92" customFormat="false" ht="45" hidden="false" customHeight="true" outlineLevel="0" collapsed="false">
      <c r="A92" s="20" t="s">
        <v>1050</v>
      </c>
      <c r="B92" s="22" t="s">
        <v>61</v>
      </c>
      <c r="C92" s="8" t="s">
        <v>1051</v>
      </c>
      <c r="D92" s="22" t="s">
        <v>1052</v>
      </c>
      <c r="E92" s="22" t="s">
        <v>1046</v>
      </c>
      <c r="F92" s="22" t="s">
        <v>739</v>
      </c>
      <c r="G92" s="22" t="s">
        <v>1053</v>
      </c>
      <c r="H92" s="22" t="s">
        <v>1054</v>
      </c>
      <c r="I92" s="47" t="s">
        <v>783</v>
      </c>
      <c r="J92" s="48" t="s">
        <v>1055</v>
      </c>
      <c r="K92" s="20" t="s">
        <v>15</v>
      </c>
      <c r="L92" s="49" t="s">
        <v>5</v>
      </c>
      <c r="M92" s="20" t="s">
        <v>1056</v>
      </c>
      <c r="N92" s="20" t="s">
        <v>646</v>
      </c>
      <c r="O92" s="20" t="n">
        <v>8</v>
      </c>
      <c r="P92" s="45" t="s">
        <v>101</v>
      </c>
      <c r="Q92" s="46"/>
    </row>
    <row r="93" customFormat="false" ht="45" hidden="false" customHeight="true" outlineLevel="0" collapsed="false">
      <c r="A93" s="19" t="s">
        <v>1057</v>
      </c>
      <c r="B93" s="21" t="s">
        <v>61</v>
      </c>
      <c r="C93" s="5" t="s">
        <v>1058</v>
      </c>
      <c r="D93" s="21" t="s">
        <v>1059</v>
      </c>
      <c r="E93" s="21" t="s">
        <v>567</v>
      </c>
      <c r="F93" s="21" t="s">
        <v>739</v>
      </c>
      <c r="G93" s="21" t="s">
        <v>1060</v>
      </c>
      <c r="H93" s="21" t="s">
        <v>1061</v>
      </c>
      <c r="I93" s="42" t="s">
        <v>783</v>
      </c>
      <c r="J93" s="43" t="s">
        <v>1062</v>
      </c>
      <c r="K93" s="19" t="s">
        <v>15</v>
      </c>
      <c r="L93" s="44" t="s">
        <v>717</v>
      </c>
      <c r="M93" s="19" t="s">
        <v>1033</v>
      </c>
      <c r="N93" s="19" t="s">
        <v>646</v>
      </c>
      <c r="O93" s="19" t="n">
        <v>5</v>
      </c>
      <c r="P93" s="45" t="s">
        <v>101</v>
      </c>
      <c r="Q93" s="46"/>
    </row>
    <row r="94" customFormat="false" ht="45" hidden="false" customHeight="true" outlineLevel="0" collapsed="false">
      <c r="A94" s="20" t="s">
        <v>1063</v>
      </c>
      <c r="B94" s="22" t="s">
        <v>61</v>
      </c>
      <c r="C94" s="8" t="s">
        <v>1064</v>
      </c>
      <c r="D94" s="22" t="s">
        <v>1065</v>
      </c>
      <c r="E94" s="22" t="s">
        <v>572</v>
      </c>
      <c r="F94" s="22" t="s">
        <v>739</v>
      </c>
      <c r="G94" s="22" t="s">
        <v>962</v>
      </c>
      <c r="H94" s="22" t="s">
        <v>819</v>
      </c>
      <c r="I94" s="47" t="s">
        <v>1066</v>
      </c>
      <c r="J94" s="48" t="s">
        <v>1067</v>
      </c>
      <c r="K94" s="20" t="s">
        <v>15</v>
      </c>
      <c r="L94" s="49" t="s">
        <v>5</v>
      </c>
      <c r="M94" s="20" t="s">
        <v>1056</v>
      </c>
      <c r="N94" s="20" t="s">
        <v>646</v>
      </c>
      <c r="O94" s="20" t="n">
        <v>5</v>
      </c>
      <c r="P94" s="45" t="s">
        <v>101</v>
      </c>
      <c r="Q94" s="46"/>
    </row>
    <row r="95" customFormat="false" ht="45" hidden="false" customHeight="true" outlineLevel="0" collapsed="false">
      <c r="A95" s="19" t="s">
        <v>1068</v>
      </c>
      <c r="B95" s="21" t="s">
        <v>61</v>
      </c>
      <c r="C95" s="5" t="s">
        <v>1069</v>
      </c>
      <c r="D95" s="21" t="s">
        <v>1070</v>
      </c>
      <c r="E95" s="21" t="s">
        <v>572</v>
      </c>
      <c r="F95" s="21" t="s">
        <v>666</v>
      </c>
      <c r="G95" s="21" t="s">
        <v>667</v>
      </c>
      <c r="H95" s="21" t="s">
        <v>1071</v>
      </c>
      <c r="I95" s="42" t="s">
        <v>1072</v>
      </c>
      <c r="J95" s="43" t="s">
        <v>1073</v>
      </c>
      <c r="K95" s="19" t="s">
        <v>15</v>
      </c>
      <c r="L95" s="44" t="s">
        <v>5</v>
      </c>
      <c r="M95" s="19" t="s">
        <v>1056</v>
      </c>
      <c r="N95" s="19" t="s">
        <v>671</v>
      </c>
      <c r="O95" s="19" t="n">
        <v>5</v>
      </c>
      <c r="P95" s="45" t="s">
        <v>101</v>
      </c>
      <c r="Q95" s="46"/>
    </row>
    <row r="96" customFormat="false" ht="45" hidden="false" customHeight="true" outlineLevel="0" collapsed="false">
      <c r="A96" s="20" t="s">
        <v>1074</v>
      </c>
      <c r="B96" s="22" t="s">
        <v>61</v>
      </c>
      <c r="C96" s="8" t="s">
        <v>1075</v>
      </c>
      <c r="D96" s="22" t="s">
        <v>1076</v>
      </c>
      <c r="E96" s="22" t="s">
        <v>572</v>
      </c>
      <c r="F96" s="22" t="s">
        <v>739</v>
      </c>
      <c r="G96" s="22" t="s">
        <v>1077</v>
      </c>
      <c r="H96" s="22" t="s">
        <v>819</v>
      </c>
      <c r="I96" s="47" t="s">
        <v>1078</v>
      </c>
      <c r="J96" s="48" t="s">
        <v>1079</v>
      </c>
      <c r="K96" s="20" t="s">
        <v>15</v>
      </c>
      <c r="L96" s="49" t="s">
        <v>5</v>
      </c>
      <c r="M96" s="20" t="s">
        <v>1056</v>
      </c>
      <c r="N96" s="20" t="s">
        <v>646</v>
      </c>
      <c r="O96" s="20" t="n">
        <v>6</v>
      </c>
      <c r="P96" s="45" t="s">
        <v>101</v>
      </c>
      <c r="Q96" s="46"/>
    </row>
    <row r="97" customFormat="false" ht="45" hidden="false" customHeight="true" outlineLevel="0" collapsed="false">
      <c r="A97" s="19" t="s">
        <v>1080</v>
      </c>
      <c r="B97" s="21" t="s">
        <v>61</v>
      </c>
      <c r="C97" s="5" t="s">
        <v>1081</v>
      </c>
      <c r="D97" s="21" t="s">
        <v>1082</v>
      </c>
      <c r="E97" s="21" t="s">
        <v>572</v>
      </c>
      <c r="F97" s="21" t="s">
        <v>803</v>
      </c>
      <c r="G97" s="21" t="s">
        <v>1083</v>
      </c>
      <c r="H97" s="21" t="s">
        <v>921</v>
      </c>
      <c r="I97" s="42" t="s">
        <v>1084</v>
      </c>
      <c r="J97" s="43" t="s">
        <v>1085</v>
      </c>
      <c r="K97" s="19" t="s">
        <v>15</v>
      </c>
      <c r="L97" s="44" t="s">
        <v>5</v>
      </c>
      <c r="M97" s="19" t="s">
        <v>1056</v>
      </c>
      <c r="N97" s="19" t="s">
        <v>646</v>
      </c>
      <c r="O97" s="19" t="n">
        <v>3</v>
      </c>
      <c r="P97" s="45" t="s">
        <v>101</v>
      </c>
      <c r="Q97" s="46"/>
    </row>
    <row r="98" customFormat="false" ht="45" hidden="false" customHeight="true" outlineLevel="0" collapsed="false">
      <c r="A98" s="20" t="s">
        <v>1086</v>
      </c>
      <c r="B98" s="22" t="s">
        <v>63</v>
      </c>
      <c r="C98" s="8" t="s">
        <v>1087</v>
      </c>
      <c r="D98" s="22" t="s">
        <v>1088</v>
      </c>
      <c r="E98" s="22" t="s">
        <v>576</v>
      </c>
      <c r="F98" s="22" t="s">
        <v>1089</v>
      </c>
      <c r="G98" s="22" t="s">
        <v>1090</v>
      </c>
      <c r="H98" s="22" t="s">
        <v>642</v>
      </c>
      <c r="I98" s="47" t="s">
        <v>1091</v>
      </c>
      <c r="J98" s="48" t="s">
        <v>1092</v>
      </c>
      <c r="K98" s="20" t="s">
        <v>15</v>
      </c>
      <c r="L98" s="49" t="s">
        <v>5</v>
      </c>
      <c r="M98" s="20" t="s">
        <v>1093</v>
      </c>
      <c r="N98" s="20" t="s">
        <v>671</v>
      </c>
      <c r="O98" s="20" t="n">
        <v>5</v>
      </c>
      <c r="P98" s="45" t="s">
        <v>101</v>
      </c>
      <c r="Q98" s="46"/>
    </row>
    <row r="99" customFormat="false" ht="45" hidden="false" customHeight="true" outlineLevel="0" collapsed="false">
      <c r="A99" s="19" t="s">
        <v>1094</v>
      </c>
      <c r="B99" s="21" t="s">
        <v>63</v>
      </c>
      <c r="C99" s="5" t="s">
        <v>1095</v>
      </c>
      <c r="D99" s="21" t="s">
        <v>1096</v>
      </c>
      <c r="E99" s="21" t="s">
        <v>576</v>
      </c>
      <c r="F99" s="21" t="s">
        <v>1089</v>
      </c>
      <c r="G99" s="21" t="s">
        <v>1097</v>
      </c>
      <c r="H99" s="21" t="s">
        <v>642</v>
      </c>
      <c r="I99" s="42" t="s">
        <v>1098</v>
      </c>
      <c r="J99" s="43" t="s">
        <v>1099</v>
      </c>
      <c r="K99" s="19" t="s">
        <v>15</v>
      </c>
      <c r="L99" s="44" t="s">
        <v>5</v>
      </c>
      <c r="M99" s="19" t="s">
        <v>1093</v>
      </c>
      <c r="N99" s="19" t="s">
        <v>671</v>
      </c>
      <c r="O99" s="19" t="n">
        <v>6</v>
      </c>
      <c r="P99" s="45" t="s">
        <v>101</v>
      </c>
      <c r="Q99" s="46"/>
    </row>
    <row r="100" customFormat="false" ht="45" hidden="false" customHeight="true" outlineLevel="0" collapsed="false">
      <c r="A100" s="20" t="s">
        <v>1100</v>
      </c>
      <c r="B100" s="22" t="s">
        <v>63</v>
      </c>
      <c r="C100" s="8" t="s">
        <v>1101</v>
      </c>
      <c r="D100" s="22" t="s">
        <v>1102</v>
      </c>
      <c r="E100" s="22" t="s">
        <v>576</v>
      </c>
      <c r="F100" s="22" t="s">
        <v>1089</v>
      </c>
      <c r="G100" s="22" t="s">
        <v>168</v>
      </c>
      <c r="H100" s="22" t="s">
        <v>1103</v>
      </c>
      <c r="I100" s="47" t="s">
        <v>1104</v>
      </c>
      <c r="J100" s="48" t="s">
        <v>1105</v>
      </c>
      <c r="K100" s="20" t="s">
        <v>15</v>
      </c>
      <c r="L100" s="49" t="s">
        <v>5</v>
      </c>
      <c r="M100" s="20" t="s">
        <v>1093</v>
      </c>
      <c r="N100" s="20" t="s">
        <v>646</v>
      </c>
      <c r="O100" s="20" t="n">
        <v>6</v>
      </c>
      <c r="P100" s="45" t="s">
        <v>101</v>
      </c>
      <c r="Q100" s="46"/>
    </row>
    <row r="101" customFormat="false" ht="45" hidden="false" customHeight="true" outlineLevel="0" collapsed="false">
      <c r="A101" s="19" t="s">
        <v>1106</v>
      </c>
      <c r="B101" s="21" t="s">
        <v>63</v>
      </c>
      <c r="C101" s="5" t="s">
        <v>1107</v>
      </c>
      <c r="D101" s="21" t="s">
        <v>1108</v>
      </c>
      <c r="E101" s="21" t="s">
        <v>576</v>
      </c>
      <c r="F101" s="21" t="s">
        <v>739</v>
      </c>
      <c r="G101" s="21" t="s">
        <v>1109</v>
      </c>
      <c r="H101" s="21" t="s">
        <v>1110</v>
      </c>
      <c r="I101" s="42" t="s">
        <v>1111</v>
      </c>
      <c r="J101" s="43" t="s">
        <v>1112</v>
      </c>
      <c r="K101" s="19" t="s">
        <v>15</v>
      </c>
      <c r="L101" s="44" t="s">
        <v>5</v>
      </c>
      <c r="M101" s="19" t="s">
        <v>1093</v>
      </c>
      <c r="N101" s="19" t="s">
        <v>646</v>
      </c>
      <c r="O101" s="19" t="n">
        <v>14</v>
      </c>
      <c r="P101" s="45" t="s">
        <v>101</v>
      </c>
      <c r="Q101" s="46"/>
    </row>
    <row r="102" customFormat="false" ht="45" hidden="false" customHeight="true" outlineLevel="0" collapsed="false">
      <c r="A102" s="20" t="s">
        <v>1113</v>
      </c>
      <c r="B102" s="22" t="s">
        <v>63</v>
      </c>
      <c r="C102" s="8" t="s">
        <v>1114</v>
      </c>
      <c r="D102" s="22" t="s">
        <v>1115</v>
      </c>
      <c r="E102" s="22" t="s">
        <v>1116</v>
      </c>
      <c r="F102" s="22" t="s">
        <v>739</v>
      </c>
      <c r="G102" s="22" t="s">
        <v>1117</v>
      </c>
      <c r="H102" s="22" t="s">
        <v>1118</v>
      </c>
      <c r="I102" s="47" t="s">
        <v>1119</v>
      </c>
      <c r="J102" s="48" t="s">
        <v>1120</v>
      </c>
      <c r="K102" s="20" t="s">
        <v>15</v>
      </c>
      <c r="L102" s="49" t="s">
        <v>129</v>
      </c>
      <c r="M102" s="20" t="s">
        <v>1093</v>
      </c>
      <c r="N102" s="20" t="s">
        <v>646</v>
      </c>
      <c r="O102" s="20" t="n">
        <v>6</v>
      </c>
      <c r="P102" s="45" t="s">
        <v>101</v>
      </c>
      <c r="Q102" s="46"/>
    </row>
    <row r="103" customFormat="false" ht="45" hidden="false" customHeight="true" outlineLevel="0" collapsed="false">
      <c r="A103" s="19" t="s">
        <v>1121</v>
      </c>
      <c r="B103" s="21" t="s">
        <v>63</v>
      </c>
      <c r="C103" s="5" t="s">
        <v>1122</v>
      </c>
      <c r="D103" s="21" t="s">
        <v>1123</v>
      </c>
      <c r="E103" s="21" t="s">
        <v>576</v>
      </c>
      <c r="F103" s="21" t="s">
        <v>1124</v>
      </c>
      <c r="G103" s="21" t="s">
        <v>1125</v>
      </c>
      <c r="H103" s="21" t="s">
        <v>1126</v>
      </c>
      <c r="I103" s="42" t="s">
        <v>1127</v>
      </c>
      <c r="J103" s="43" t="s">
        <v>1128</v>
      </c>
      <c r="K103" s="19" t="s">
        <v>15</v>
      </c>
      <c r="L103" s="44" t="s">
        <v>5</v>
      </c>
      <c r="M103" s="19" t="s">
        <v>1093</v>
      </c>
      <c r="N103" s="19" t="s">
        <v>646</v>
      </c>
      <c r="O103" s="19" t="n">
        <v>14</v>
      </c>
      <c r="P103" s="45" t="s">
        <v>101</v>
      </c>
      <c r="Q103" s="46"/>
    </row>
    <row r="104" customFormat="false" ht="45" hidden="false" customHeight="true" outlineLevel="0" collapsed="false">
      <c r="A104" s="20" t="s">
        <v>1129</v>
      </c>
      <c r="B104" s="22" t="s">
        <v>63</v>
      </c>
      <c r="C104" s="8" t="s">
        <v>1130</v>
      </c>
      <c r="D104" s="22" t="s">
        <v>1131</v>
      </c>
      <c r="E104" s="22" t="s">
        <v>576</v>
      </c>
      <c r="F104" s="22" t="s">
        <v>803</v>
      </c>
      <c r="G104" s="22" t="s">
        <v>1132</v>
      </c>
      <c r="H104" s="22" t="s">
        <v>1042</v>
      </c>
      <c r="I104" s="47" t="s">
        <v>1133</v>
      </c>
      <c r="J104" s="48" t="s">
        <v>1134</v>
      </c>
      <c r="K104" s="20" t="s">
        <v>15</v>
      </c>
      <c r="L104" s="49" t="s">
        <v>5</v>
      </c>
      <c r="M104" s="20" t="s">
        <v>1093</v>
      </c>
      <c r="N104" s="20" t="s">
        <v>646</v>
      </c>
      <c r="O104" s="20" t="n">
        <v>1</v>
      </c>
      <c r="P104" s="45" t="s">
        <v>101</v>
      </c>
      <c r="Q104" s="46"/>
    </row>
    <row r="105" customFormat="false" ht="45" hidden="false" customHeight="true" outlineLevel="0" collapsed="false">
      <c r="A105" s="19" t="s">
        <v>1135</v>
      </c>
      <c r="B105" s="21" t="s">
        <v>63</v>
      </c>
      <c r="C105" s="5" t="s">
        <v>1136</v>
      </c>
      <c r="D105" s="21" t="s">
        <v>1137</v>
      </c>
      <c r="E105" s="21" t="s">
        <v>576</v>
      </c>
      <c r="F105" s="21" t="s">
        <v>739</v>
      </c>
      <c r="G105" s="21" t="s">
        <v>314</v>
      </c>
      <c r="H105" s="21" t="s">
        <v>1138</v>
      </c>
      <c r="I105" s="42" t="s">
        <v>1139</v>
      </c>
      <c r="J105" s="43" t="s">
        <v>1140</v>
      </c>
      <c r="K105" s="19" t="s">
        <v>15</v>
      </c>
      <c r="L105" s="44" t="s">
        <v>5</v>
      </c>
      <c r="M105" s="19" t="s">
        <v>1093</v>
      </c>
      <c r="N105" s="19" t="s">
        <v>646</v>
      </c>
      <c r="O105" s="19" t="n">
        <v>1</v>
      </c>
      <c r="P105" s="45" t="s">
        <v>101</v>
      </c>
      <c r="Q105" s="46"/>
    </row>
    <row r="106" customFormat="false" ht="45" hidden="false" customHeight="true" outlineLevel="0" collapsed="false">
      <c r="A106" s="20" t="s">
        <v>1141</v>
      </c>
      <c r="B106" s="22" t="s">
        <v>65</v>
      </c>
      <c r="C106" s="8" t="s">
        <v>1142</v>
      </c>
      <c r="D106" s="22" t="s">
        <v>1143</v>
      </c>
      <c r="E106" s="22" t="s">
        <v>581</v>
      </c>
      <c r="F106" s="22" t="s">
        <v>666</v>
      </c>
      <c r="G106" s="22" t="s">
        <v>667</v>
      </c>
      <c r="H106" s="22" t="s">
        <v>1144</v>
      </c>
      <c r="I106" s="47" t="s">
        <v>1145</v>
      </c>
      <c r="J106" s="48" t="s">
        <v>1146</v>
      </c>
      <c r="K106" s="20" t="s">
        <v>15</v>
      </c>
      <c r="L106" s="49" t="s">
        <v>5</v>
      </c>
      <c r="M106" s="20" t="s">
        <v>1147</v>
      </c>
      <c r="N106" s="20" t="s">
        <v>671</v>
      </c>
      <c r="O106" s="20" t="n">
        <v>8</v>
      </c>
      <c r="P106" s="45" t="s">
        <v>101</v>
      </c>
      <c r="Q106" s="46"/>
    </row>
    <row r="107" customFormat="false" ht="45" hidden="false" customHeight="true" outlineLevel="0" collapsed="false">
      <c r="A107" s="19" t="s">
        <v>1148</v>
      </c>
      <c r="B107" s="21" t="s">
        <v>65</v>
      </c>
      <c r="C107" s="5" t="s">
        <v>1149</v>
      </c>
      <c r="D107" s="21" t="s">
        <v>1150</v>
      </c>
      <c r="E107" s="21" t="s">
        <v>581</v>
      </c>
      <c r="F107" s="21" t="s">
        <v>666</v>
      </c>
      <c r="G107" s="21" t="s">
        <v>667</v>
      </c>
      <c r="H107" s="21" t="s">
        <v>885</v>
      </c>
      <c r="I107" s="42" t="s">
        <v>783</v>
      </c>
      <c r="J107" s="43" t="s">
        <v>1151</v>
      </c>
      <c r="K107" s="19" t="s">
        <v>15</v>
      </c>
      <c r="L107" s="44" t="s">
        <v>5</v>
      </c>
      <c r="M107" s="19" t="s">
        <v>1147</v>
      </c>
      <c r="N107" s="19" t="s">
        <v>671</v>
      </c>
      <c r="O107" s="19" t="n">
        <v>7</v>
      </c>
      <c r="P107" s="45" t="s">
        <v>101</v>
      </c>
      <c r="Q107" s="46"/>
    </row>
    <row r="108" customFormat="false" ht="45" hidden="false" customHeight="true" outlineLevel="0" collapsed="false">
      <c r="A108" s="20" t="s">
        <v>1152</v>
      </c>
      <c r="B108" s="22" t="s">
        <v>65</v>
      </c>
      <c r="C108" s="8" t="s">
        <v>1153</v>
      </c>
      <c r="D108" s="22" t="s">
        <v>1154</v>
      </c>
      <c r="E108" s="22" t="s">
        <v>581</v>
      </c>
      <c r="F108" s="22" t="s">
        <v>666</v>
      </c>
      <c r="G108" s="22" t="s">
        <v>667</v>
      </c>
      <c r="H108" s="22" t="s">
        <v>885</v>
      </c>
      <c r="I108" s="47" t="s">
        <v>783</v>
      </c>
      <c r="J108" s="48" t="s">
        <v>1155</v>
      </c>
      <c r="K108" s="20" t="s">
        <v>15</v>
      </c>
      <c r="L108" s="49" t="s">
        <v>129</v>
      </c>
      <c r="M108" s="20" t="s">
        <v>1147</v>
      </c>
      <c r="N108" s="20" t="s">
        <v>671</v>
      </c>
      <c r="O108" s="20" t="n">
        <v>7</v>
      </c>
      <c r="P108" s="45" t="s">
        <v>101</v>
      </c>
      <c r="Q108" s="46"/>
    </row>
    <row r="109" customFormat="false" ht="45" hidden="false" customHeight="true" outlineLevel="0" collapsed="false">
      <c r="A109" s="19" t="s">
        <v>1156</v>
      </c>
      <c r="B109" s="21" t="s">
        <v>65</v>
      </c>
      <c r="C109" s="5" t="s">
        <v>1157</v>
      </c>
      <c r="D109" s="21" t="s">
        <v>1158</v>
      </c>
      <c r="E109" s="21" t="s">
        <v>581</v>
      </c>
      <c r="F109" s="21" t="s">
        <v>666</v>
      </c>
      <c r="G109" s="21" t="s">
        <v>667</v>
      </c>
      <c r="H109" s="21" t="s">
        <v>921</v>
      </c>
      <c r="I109" s="42" t="s">
        <v>1159</v>
      </c>
      <c r="J109" s="43" t="s">
        <v>1160</v>
      </c>
      <c r="K109" s="19" t="s">
        <v>15</v>
      </c>
      <c r="L109" s="44" t="s">
        <v>717</v>
      </c>
      <c r="M109" s="19" t="s">
        <v>1147</v>
      </c>
      <c r="N109" s="19" t="s">
        <v>671</v>
      </c>
      <c r="O109" s="19" t="n">
        <v>6</v>
      </c>
      <c r="P109" s="45" t="s">
        <v>101</v>
      </c>
      <c r="Q109" s="46"/>
    </row>
    <row r="110" customFormat="false" ht="45" hidden="false" customHeight="true" outlineLevel="0" collapsed="false">
      <c r="A110" s="20" t="s">
        <v>1161</v>
      </c>
      <c r="B110" s="22" t="s">
        <v>65</v>
      </c>
      <c r="C110" s="8" t="s">
        <v>1162</v>
      </c>
      <c r="D110" s="22" t="s">
        <v>1163</v>
      </c>
      <c r="E110" s="22" t="s">
        <v>581</v>
      </c>
      <c r="F110" s="22" t="s">
        <v>803</v>
      </c>
      <c r="G110" s="22" t="s">
        <v>145</v>
      </c>
      <c r="H110" s="22" t="s">
        <v>773</v>
      </c>
      <c r="I110" s="47" t="s">
        <v>1164</v>
      </c>
      <c r="J110" s="48" t="s">
        <v>1165</v>
      </c>
      <c r="K110" s="20" t="s">
        <v>17</v>
      </c>
      <c r="L110" s="49" t="s">
        <v>129</v>
      </c>
      <c r="M110" s="20" t="s">
        <v>868</v>
      </c>
      <c r="N110" s="20" t="s">
        <v>646</v>
      </c>
      <c r="O110" s="20" t="n">
        <v>3</v>
      </c>
      <c r="P110" s="45" t="s">
        <v>101</v>
      </c>
      <c r="Q110" s="46"/>
    </row>
    <row r="111" customFormat="false" ht="45" hidden="false" customHeight="true" outlineLevel="0" collapsed="false">
      <c r="A111" s="19" t="s">
        <v>1166</v>
      </c>
      <c r="B111" s="21" t="s">
        <v>65</v>
      </c>
      <c r="C111" s="5" t="s">
        <v>1167</v>
      </c>
      <c r="D111" s="21" t="s">
        <v>1168</v>
      </c>
      <c r="E111" s="21" t="s">
        <v>581</v>
      </c>
      <c r="F111" s="21" t="s">
        <v>803</v>
      </c>
      <c r="G111" s="21" t="s">
        <v>291</v>
      </c>
      <c r="H111" s="21" t="s">
        <v>1169</v>
      </c>
      <c r="I111" s="42" t="s">
        <v>944</v>
      </c>
      <c r="J111" s="43" t="s">
        <v>1170</v>
      </c>
      <c r="K111" s="19" t="s">
        <v>15</v>
      </c>
      <c r="L111" s="44" t="s">
        <v>5</v>
      </c>
      <c r="M111" s="19" t="s">
        <v>1147</v>
      </c>
      <c r="N111" s="19" t="s">
        <v>646</v>
      </c>
      <c r="O111" s="19" t="n">
        <v>3</v>
      </c>
      <c r="P111" s="45" t="s">
        <v>101</v>
      </c>
      <c r="Q111" s="46"/>
    </row>
    <row r="112" customFormat="false" ht="45" hidden="false" customHeight="true" outlineLevel="0" collapsed="false">
      <c r="A112" s="20" t="s">
        <v>1171</v>
      </c>
      <c r="B112" s="22" t="s">
        <v>65</v>
      </c>
      <c r="C112" s="8" t="s">
        <v>1172</v>
      </c>
      <c r="D112" s="22" t="s">
        <v>1173</v>
      </c>
      <c r="E112" s="22" t="s">
        <v>581</v>
      </c>
      <c r="F112" s="22" t="s">
        <v>739</v>
      </c>
      <c r="G112" s="22" t="s">
        <v>359</v>
      </c>
      <c r="H112" s="22" t="s">
        <v>1174</v>
      </c>
      <c r="I112" s="47" t="s">
        <v>1175</v>
      </c>
      <c r="J112" s="48" t="s">
        <v>1176</v>
      </c>
      <c r="K112" s="20" t="s">
        <v>15</v>
      </c>
      <c r="L112" s="49" t="s">
        <v>5</v>
      </c>
      <c r="M112" s="20" t="s">
        <v>1147</v>
      </c>
      <c r="N112" s="20" t="s">
        <v>646</v>
      </c>
      <c r="O112" s="20" t="n">
        <v>3</v>
      </c>
      <c r="P112" s="45" t="s">
        <v>101</v>
      </c>
      <c r="Q112" s="46"/>
    </row>
    <row r="113" customFormat="false" ht="45" hidden="false" customHeight="true" outlineLevel="0" collapsed="false">
      <c r="A113" s="19" t="s">
        <v>1177</v>
      </c>
      <c r="B113" s="21" t="s">
        <v>65</v>
      </c>
      <c r="C113" s="5" t="s">
        <v>1178</v>
      </c>
      <c r="D113" s="21" t="s">
        <v>1179</v>
      </c>
      <c r="E113" s="21" t="s">
        <v>581</v>
      </c>
      <c r="F113" s="21" t="s">
        <v>803</v>
      </c>
      <c r="G113" s="21" t="s">
        <v>1180</v>
      </c>
      <c r="H113" s="21" t="s">
        <v>913</v>
      </c>
      <c r="I113" s="42" t="s">
        <v>1181</v>
      </c>
      <c r="J113" s="43" t="s">
        <v>1182</v>
      </c>
      <c r="K113" s="19" t="s">
        <v>15</v>
      </c>
      <c r="L113" s="44" t="s">
        <v>5</v>
      </c>
      <c r="M113" s="19" t="s">
        <v>1147</v>
      </c>
      <c r="N113" s="19" t="s">
        <v>646</v>
      </c>
      <c r="O113" s="19" t="n">
        <v>3</v>
      </c>
      <c r="P113" s="45" t="s">
        <v>101</v>
      </c>
      <c r="Q113" s="46"/>
    </row>
    <row r="114" customFormat="false" ht="45" hidden="false" customHeight="true" outlineLevel="0" collapsed="false">
      <c r="A114" s="20" t="s">
        <v>298</v>
      </c>
      <c r="B114" s="22" t="s">
        <v>67</v>
      </c>
      <c r="C114" s="8" t="s">
        <v>299</v>
      </c>
      <c r="D114" s="22" t="s">
        <v>1183</v>
      </c>
      <c r="E114" s="22" t="s">
        <v>585</v>
      </c>
      <c r="F114" s="22" t="s">
        <v>666</v>
      </c>
      <c r="G114" s="22" t="s">
        <v>667</v>
      </c>
      <c r="H114" s="22" t="s">
        <v>1184</v>
      </c>
      <c r="I114" s="47" t="s">
        <v>1185</v>
      </c>
      <c r="J114" s="48" t="s">
        <v>1186</v>
      </c>
      <c r="K114" s="20" t="s">
        <v>13</v>
      </c>
      <c r="L114" s="49" t="s">
        <v>5</v>
      </c>
      <c r="M114" s="20" t="s">
        <v>1187</v>
      </c>
      <c r="N114" s="20" t="s">
        <v>671</v>
      </c>
      <c r="O114" s="20" t="n">
        <v>6</v>
      </c>
      <c r="P114" s="45" t="s">
        <v>101</v>
      </c>
      <c r="Q114" s="46"/>
    </row>
    <row r="115" customFormat="false" ht="45" hidden="false" customHeight="true" outlineLevel="0" collapsed="false">
      <c r="A115" s="19" t="s">
        <v>301</v>
      </c>
      <c r="B115" s="21" t="s">
        <v>67</v>
      </c>
      <c r="C115" s="5" t="s">
        <v>302</v>
      </c>
      <c r="D115" s="21" t="s">
        <v>1188</v>
      </c>
      <c r="E115" s="21" t="s">
        <v>585</v>
      </c>
      <c r="F115" s="21" t="s">
        <v>803</v>
      </c>
      <c r="G115" s="21" t="s">
        <v>303</v>
      </c>
      <c r="H115" s="21" t="s">
        <v>1189</v>
      </c>
      <c r="I115" s="42" t="s">
        <v>1190</v>
      </c>
      <c r="J115" s="43" t="s">
        <v>1191</v>
      </c>
      <c r="K115" s="19" t="s">
        <v>13</v>
      </c>
      <c r="L115" s="44" t="s">
        <v>5</v>
      </c>
      <c r="M115" s="19" t="s">
        <v>1187</v>
      </c>
      <c r="N115" s="19" t="s">
        <v>646</v>
      </c>
      <c r="O115" s="19" t="n">
        <v>6</v>
      </c>
      <c r="P115" s="45" t="s">
        <v>101</v>
      </c>
      <c r="Q115" s="46"/>
    </row>
    <row r="116" customFormat="false" ht="45" hidden="false" customHeight="true" outlineLevel="0" collapsed="false">
      <c r="A116" s="20" t="s">
        <v>304</v>
      </c>
      <c r="B116" s="22" t="s">
        <v>67</v>
      </c>
      <c r="C116" s="8" t="s">
        <v>305</v>
      </c>
      <c r="D116" s="22" t="s">
        <v>1192</v>
      </c>
      <c r="E116" s="22" t="s">
        <v>585</v>
      </c>
      <c r="F116" s="22" t="s">
        <v>803</v>
      </c>
      <c r="G116" s="22" t="s">
        <v>306</v>
      </c>
      <c r="H116" s="22" t="s">
        <v>885</v>
      </c>
      <c r="I116" s="47" t="s">
        <v>1193</v>
      </c>
      <c r="J116" s="48" t="s">
        <v>1194</v>
      </c>
      <c r="K116" s="20" t="s">
        <v>13</v>
      </c>
      <c r="L116" s="49" t="s">
        <v>5</v>
      </c>
      <c r="M116" s="20" t="s">
        <v>1187</v>
      </c>
      <c r="N116" s="20" t="s">
        <v>646</v>
      </c>
      <c r="O116" s="20" t="n">
        <v>1</v>
      </c>
      <c r="P116" s="45" t="s">
        <v>101</v>
      </c>
      <c r="Q116" s="46"/>
    </row>
    <row r="117" customFormat="false" ht="45" hidden="false" customHeight="true" outlineLevel="0" collapsed="false">
      <c r="A117" s="19" t="s">
        <v>307</v>
      </c>
      <c r="B117" s="21" t="s">
        <v>67</v>
      </c>
      <c r="C117" s="5" t="s">
        <v>308</v>
      </c>
      <c r="D117" s="21" t="s">
        <v>1195</v>
      </c>
      <c r="E117" s="21" t="s">
        <v>585</v>
      </c>
      <c r="F117" s="21" t="s">
        <v>803</v>
      </c>
      <c r="G117" s="21" t="s">
        <v>309</v>
      </c>
      <c r="H117" s="21" t="s">
        <v>1196</v>
      </c>
      <c r="I117" s="42" t="s">
        <v>1175</v>
      </c>
      <c r="J117" s="43" t="s">
        <v>1197</v>
      </c>
      <c r="K117" s="19" t="s">
        <v>13</v>
      </c>
      <c r="L117" s="44" t="s">
        <v>5</v>
      </c>
      <c r="M117" s="19" t="s">
        <v>1187</v>
      </c>
      <c r="N117" s="19" t="s">
        <v>646</v>
      </c>
      <c r="O117" s="19" t="n">
        <v>4</v>
      </c>
      <c r="P117" s="45" t="s">
        <v>101</v>
      </c>
      <c r="Q117" s="46"/>
    </row>
    <row r="118" customFormat="false" ht="45" hidden="false" customHeight="true" outlineLevel="0" collapsed="false">
      <c r="A118" s="20" t="s">
        <v>310</v>
      </c>
      <c r="B118" s="22" t="s">
        <v>67</v>
      </c>
      <c r="C118" s="8" t="s">
        <v>311</v>
      </c>
      <c r="D118" s="22" t="s">
        <v>1198</v>
      </c>
      <c r="E118" s="22" t="s">
        <v>585</v>
      </c>
      <c r="F118" s="22" t="s">
        <v>803</v>
      </c>
      <c r="G118" s="22" t="s">
        <v>303</v>
      </c>
      <c r="H118" s="22" t="s">
        <v>1199</v>
      </c>
      <c r="I118" s="47" t="s">
        <v>1200</v>
      </c>
      <c r="J118" s="48" t="s">
        <v>1201</v>
      </c>
      <c r="K118" s="20" t="s">
        <v>13</v>
      </c>
      <c r="L118" s="49" t="s">
        <v>5</v>
      </c>
      <c r="M118" s="20" t="s">
        <v>1187</v>
      </c>
      <c r="N118" s="20" t="s">
        <v>646</v>
      </c>
      <c r="O118" s="20" t="n">
        <v>2</v>
      </c>
      <c r="P118" s="45" t="s">
        <v>101</v>
      </c>
      <c r="Q118" s="46"/>
    </row>
    <row r="119" customFormat="false" ht="45" hidden="false" customHeight="true" outlineLevel="0" collapsed="false">
      <c r="A119" s="19" t="s">
        <v>312</v>
      </c>
      <c r="B119" s="21" t="s">
        <v>67</v>
      </c>
      <c r="C119" s="5" t="s">
        <v>313</v>
      </c>
      <c r="D119" s="21" t="s">
        <v>1202</v>
      </c>
      <c r="E119" s="21" t="s">
        <v>1203</v>
      </c>
      <c r="F119" s="21" t="s">
        <v>739</v>
      </c>
      <c r="G119" s="21" t="s">
        <v>314</v>
      </c>
      <c r="H119" s="21" t="s">
        <v>1204</v>
      </c>
      <c r="I119" s="42" t="s">
        <v>944</v>
      </c>
      <c r="J119" s="43" t="s">
        <v>1205</v>
      </c>
      <c r="K119" s="19" t="s">
        <v>13</v>
      </c>
      <c r="L119" s="44" t="s">
        <v>5</v>
      </c>
      <c r="M119" s="19" t="s">
        <v>1187</v>
      </c>
      <c r="N119" s="19" t="s">
        <v>646</v>
      </c>
      <c r="O119" s="19" t="n">
        <v>1</v>
      </c>
      <c r="P119" s="45" t="s">
        <v>101</v>
      </c>
      <c r="Q119" s="46"/>
    </row>
    <row r="120" customFormat="false" ht="45" hidden="false" customHeight="true" outlineLevel="0" collapsed="false">
      <c r="A120" s="20" t="s">
        <v>1206</v>
      </c>
      <c r="B120" s="22" t="s">
        <v>67</v>
      </c>
      <c r="C120" s="8" t="s">
        <v>1207</v>
      </c>
      <c r="D120" s="22" t="s">
        <v>1208</v>
      </c>
      <c r="E120" s="22" t="s">
        <v>589</v>
      </c>
      <c r="F120" s="22" t="s">
        <v>1209</v>
      </c>
      <c r="G120" s="22" t="s">
        <v>116</v>
      </c>
      <c r="H120" s="22" t="s">
        <v>1210</v>
      </c>
      <c r="I120" s="47" t="s">
        <v>1211</v>
      </c>
      <c r="J120" s="48" t="s">
        <v>1212</v>
      </c>
      <c r="K120" s="20" t="s">
        <v>15</v>
      </c>
      <c r="L120" s="49" t="s">
        <v>5</v>
      </c>
      <c r="M120" s="20" t="s">
        <v>941</v>
      </c>
      <c r="N120" s="20" t="s">
        <v>671</v>
      </c>
      <c r="O120" s="20" t="n">
        <v>12</v>
      </c>
      <c r="P120" s="45" t="s">
        <v>101</v>
      </c>
      <c r="Q120" s="46"/>
    </row>
    <row r="121" customFormat="false" ht="45" hidden="false" customHeight="true" outlineLevel="0" collapsed="false">
      <c r="A121" s="19" t="s">
        <v>1213</v>
      </c>
      <c r="B121" s="21" t="s">
        <v>67</v>
      </c>
      <c r="C121" s="5" t="s">
        <v>1214</v>
      </c>
      <c r="D121" s="21" t="s">
        <v>1215</v>
      </c>
      <c r="E121" s="21" t="s">
        <v>589</v>
      </c>
      <c r="F121" s="21" t="s">
        <v>803</v>
      </c>
      <c r="G121" s="21" t="s">
        <v>1216</v>
      </c>
      <c r="H121" s="21" t="s">
        <v>1217</v>
      </c>
      <c r="I121" s="42" t="s">
        <v>1218</v>
      </c>
      <c r="J121" s="43" t="s">
        <v>1219</v>
      </c>
      <c r="K121" s="19" t="s">
        <v>15</v>
      </c>
      <c r="L121" s="44" t="s">
        <v>5</v>
      </c>
      <c r="M121" s="19" t="s">
        <v>941</v>
      </c>
      <c r="N121" s="19" t="s">
        <v>646</v>
      </c>
      <c r="O121" s="19" t="n">
        <v>3</v>
      </c>
      <c r="P121" s="45" t="s">
        <v>101</v>
      </c>
      <c r="Q121" s="46"/>
    </row>
    <row r="122" customFormat="false" ht="45" hidden="false" customHeight="true" outlineLevel="0" collapsed="false">
      <c r="A122" s="20" t="s">
        <v>1220</v>
      </c>
      <c r="B122" s="22" t="s">
        <v>67</v>
      </c>
      <c r="C122" s="8" t="s">
        <v>1221</v>
      </c>
      <c r="D122" s="22" t="s">
        <v>1222</v>
      </c>
      <c r="E122" s="22" t="s">
        <v>589</v>
      </c>
      <c r="F122" s="22" t="s">
        <v>874</v>
      </c>
      <c r="G122" s="22" t="s">
        <v>1223</v>
      </c>
      <c r="H122" s="22" t="s">
        <v>1224</v>
      </c>
      <c r="I122" s="47" t="s">
        <v>1225</v>
      </c>
      <c r="J122" s="48" t="s">
        <v>1226</v>
      </c>
      <c r="K122" s="20" t="s">
        <v>15</v>
      </c>
      <c r="L122" s="49" t="s">
        <v>5</v>
      </c>
      <c r="M122" s="20" t="s">
        <v>941</v>
      </c>
      <c r="N122" s="20" t="s">
        <v>646</v>
      </c>
      <c r="O122" s="20" t="n">
        <v>4</v>
      </c>
      <c r="P122" s="45" t="s">
        <v>101</v>
      </c>
      <c r="Q122" s="46"/>
    </row>
    <row r="123" customFormat="false" ht="45" hidden="false" customHeight="true" outlineLevel="0" collapsed="false">
      <c r="A123" s="19" t="s">
        <v>1227</v>
      </c>
      <c r="B123" s="21" t="s">
        <v>67</v>
      </c>
      <c r="C123" s="5" t="s">
        <v>1228</v>
      </c>
      <c r="D123" s="21" t="s">
        <v>1229</v>
      </c>
      <c r="E123" s="21" t="s">
        <v>589</v>
      </c>
      <c r="F123" s="21" t="s">
        <v>803</v>
      </c>
      <c r="G123" s="21" t="s">
        <v>1230</v>
      </c>
      <c r="H123" s="21" t="s">
        <v>642</v>
      </c>
      <c r="I123" s="42" t="s">
        <v>1231</v>
      </c>
      <c r="J123" s="43" t="s">
        <v>1232</v>
      </c>
      <c r="K123" s="19" t="s">
        <v>15</v>
      </c>
      <c r="L123" s="44" t="s">
        <v>5</v>
      </c>
      <c r="M123" s="19" t="s">
        <v>941</v>
      </c>
      <c r="N123" s="19" t="s">
        <v>646</v>
      </c>
      <c r="O123" s="19" t="n">
        <v>1</v>
      </c>
      <c r="P123" s="45" t="s">
        <v>101</v>
      </c>
      <c r="Q123" s="46"/>
    </row>
    <row r="124" customFormat="false" ht="45" hidden="false" customHeight="true" outlineLevel="0" collapsed="false">
      <c r="A124" s="20" t="s">
        <v>1233</v>
      </c>
      <c r="B124" s="22" t="s">
        <v>67</v>
      </c>
      <c r="C124" s="8" t="s">
        <v>1234</v>
      </c>
      <c r="D124" s="22" t="s">
        <v>1235</v>
      </c>
      <c r="E124" s="22" t="s">
        <v>594</v>
      </c>
      <c r="F124" s="22" t="s">
        <v>666</v>
      </c>
      <c r="G124" s="22" t="s">
        <v>667</v>
      </c>
      <c r="H124" s="22" t="s">
        <v>642</v>
      </c>
      <c r="I124" s="47" t="s">
        <v>1236</v>
      </c>
      <c r="J124" s="48" t="s">
        <v>1237</v>
      </c>
      <c r="K124" s="20" t="s">
        <v>15</v>
      </c>
      <c r="L124" s="49" t="s">
        <v>5</v>
      </c>
      <c r="M124" s="20" t="s">
        <v>1238</v>
      </c>
      <c r="N124" s="20" t="s">
        <v>671</v>
      </c>
      <c r="O124" s="20" t="n">
        <v>6</v>
      </c>
      <c r="P124" s="45" t="s">
        <v>101</v>
      </c>
      <c r="Q124" s="46"/>
    </row>
    <row r="125" customFormat="false" ht="45" hidden="false" customHeight="true" outlineLevel="0" collapsed="false">
      <c r="A125" s="19" t="s">
        <v>1239</v>
      </c>
      <c r="B125" s="21" t="s">
        <v>67</v>
      </c>
      <c r="C125" s="5" t="s">
        <v>1240</v>
      </c>
      <c r="D125" s="21" t="s">
        <v>1241</v>
      </c>
      <c r="E125" s="21" t="s">
        <v>1242</v>
      </c>
      <c r="F125" s="21" t="s">
        <v>739</v>
      </c>
      <c r="G125" s="21" t="s">
        <v>1243</v>
      </c>
      <c r="H125" s="21" t="s">
        <v>1244</v>
      </c>
      <c r="I125" s="42" t="s">
        <v>1245</v>
      </c>
      <c r="J125" s="43" t="s">
        <v>1246</v>
      </c>
      <c r="K125" s="19" t="s">
        <v>15</v>
      </c>
      <c r="L125" s="44" t="s">
        <v>5</v>
      </c>
      <c r="M125" s="19" t="s">
        <v>1238</v>
      </c>
      <c r="N125" s="19" t="s">
        <v>646</v>
      </c>
      <c r="O125" s="19" t="n">
        <v>5</v>
      </c>
      <c r="P125" s="45" t="s">
        <v>101</v>
      </c>
      <c r="Q125" s="46"/>
    </row>
    <row r="126" customFormat="false" ht="45" hidden="false" customHeight="true" outlineLevel="0" collapsed="false">
      <c r="A126" s="20" t="s">
        <v>1247</v>
      </c>
      <c r="B126" s="22" t="s">
        <v>67</v>
      </c>
      <c r="C126" s="8" t="s">
        <v>1248</v>
      </c>
      <c r="D126" s="22" t="s">
        <v>1249</v>
      </c>
      <c r="E126" s="22" t="s">
        <v>1242</v>
      </c>
      <c r="F126" s="22" t="s">
        <v>739</v>
      </c>
      <c r="G126" s="22" t="s">
        <v>1250</v>
      </c>
      <c r="H126" s="22" t="s">
        <v>1251</v>
      </c>
      <c r="I126" s="47" t="s">
        <v>1252</v>
      </c>
      <c r="J126" s="48" t="s">
        <v>1253</v>
      </c>
      <c r="K126" s="20" t="s">
        <v>15</v>
      </c>
      <c r="L126" s="49" t="s">
        <v>5</v>
      </c>
      <c r="M126" s="20" t="s">
        <v>1238</v>
      </c>
      <c r="N126" s="20" t="s">
        <v>646</v>
      </c>
      <c r="O126" s="20" t="n">
        <v>4</v>
      </c>
      <c r="P126" s="45" t="s">
        <v>101</v>
      </c>
      <c r="Q126" s="46"/>
    </row>
    <row r="127" customFormat="false" ht="45" hidden="false" customHeight="true" outlineLevel="0" collapsed="false">
      <c r="A127" s="19" t="s">
        <v>1254</v>
      </c>
      <c r="B127" s="21" t="s">
        <v>67</v>
      </c>
      <c r="C127" s="5" t="s">
        <v>1255</v>
      </c>
      <c r="D127" s="21" t="s">
        <v>1256</v>
      </c>
      <c r="E127" s="21" t="s">
        <v>1242</v>
      </c>
      <c r="F127" s="21" t="s">
        <v>803</v>
      </c>
      <c r="G127" s="21" t="s">
        <v>1257</v>
      </c>
      <c r="H127" s="21" t="s">
        <v>909</v>
      </c>
      <c r="I127" s="42" t="s">
        <v>1258</v>
      </c>
      <c r="J127" s="43" t="s">
        <v>1259</v>
      </c>
      <c r="K127" s="19" t="s">
        <v>15</v>
      </c>
      <c r="L127" s="44" t="s">
        <v>5</v>
      </c>
      <c r="M127" s="19" t="s">
        <v>1238</v>
      </c>
      <c r="N127" s="19" t="s">
        <v>646</v>
      </c>
      <c r="O127" s="19" t="n">
        <v>3</v>
      </c>
      <c r="P127" s="45" t="s">
        <v>101</v>
      </c>
      <c r="Q127" s="46"/>
    </row>
    <row r="128" customFormat="false" ht="45" hidden="false" customHeight="true" outlineLevel="0" collapsed="false">
      <c r="A128" s="20" t="s">
        <v>1260</v>
      </c>
      <c r="B128" s="22" t="s">
        <v>69</v>
      </c>
      <c r="C128" s="8" t="s">
        <v>1261</v>
      </c>
      <c r="D128" s="22" t="s">
        <v>1262</v>
      </c>
      <c r="E128" s="22" t="s">
        <v>69</v>
      </c>
      <c r="F128" s="22" t="s">
        <v>666</v>
      </c>
      <c r="G128" s="22" t="s">
        <v>667</v>
      </c>
      <c r="H128" s="22" t="s">
        <v>642</v>
      </c>
      <c r="I128" s="47" t="s">
        <v>1263</v>
      </c>
      <c r="J128" s="48" t="s">
        <v>1264</v>
      </c>
      <c r="K128" s="20" t="s">
        <v>15</v>
      </c>
      <c r="L128" s="49" t="s">
        <v>5</v>
      </c>
      <c r="M128" s="20" t="s">
        <v>706</v>
      </c>
      <c r="N128" s="20" t="s">
        <v>671</v>
      </c>
      <c r="O128" s="20" t="n">
        <v>8</v>
      </c>
      <c r="P128" s="45" t="s">
        <v>101</v>
      </c>
      <c r="Q128" s="46"/>
    </row>
    <row r="129" customFormat="false" ht="45" hidden="false" customHeight="true" outlineLevel="0" collapsed="false">
      <c r="A129" s="19" t="s">
        <v>1265</v>
      </c>
      <c r="B129" s="21" t="s">
        <v>69</v>
      </c>
      <c r="C129" s="5" t="s">
        <v>1266</v>
      </c>
      <c r="D129" s="21" t="s">
        <v>1267</v>
      </c>
      <c r="E129" s="21" t="s">
        <v>69</v>
      </c>
      <c r="F129" s="21" t="s">
        <v>749</v>
      </c>
      <c r="G129" s="21" t="s">
        <v>162</v>
      </c>
      <c r="H129" s="21" t="s">
        <v>1268</v>
      </c>
      <c r="I129" s="42" t="s">
        <v>1269</v>
      </c>
      <c r="J129" s="43" t="s">
        <v>1270</v>
      </c>
      <c r="K129" s="19" t="s">
        <v>15</v>
      </c>
      <c r="L129" s="44" t="s">
        <v>5</v>
      </c>
      <c r="M129" s="19" t="s">
        <v>706</v>
      </c>
      <c r="N129" s="19" t="s">
        <v>646</v>
      </c>
      <c r="O129" s="19" t="n">
        <v>4</v>
      </c>
      <c r="P129" s="45" t="s">
        <v>101</v>
      </c>
      <c r="Q129" s="46"/>
    </row>
    <row r="130" customFormat="false" ht="45" hidden="false" customHeight="true" outlineLevel="0" collapsed="false">
      <c r="A130" s="20" t="s">
        <v>1271</v>
      </c>
      <c r="B130" s="22" t="s">
        <v>69</v>
      </c>
      <c r="C130" s="8" t="s">
        <v>1272</v>
      </c>
      <c r="D130" s="22" t="s">
        <v>1273</v>
      </c>
      <c r="E130" s="22" t="s">
        <v>69</v>
      </c>
      <c r="F130" s="22" t="s">
        <v>739</v>
      </c>
      <c r="G130" s="22" t="s">
        <v>1274</v>
      </c>
      <c r="H130" s="22" t="s">
        <v>1275</v>
      </c>
      <c r="I130" s="47" t="s">
        <v>1276</v>
      </c>
      <c r="J130" s="48" t="s">
        <v>1277</v>
      </c>
      <c r="K130" s="20" t="s">
        <v>15</v>
      </c>
      <c r="L130" s="49" t="s">
        <v>5</v>
      </c>
      <c r="M130" s="20" t="s">
        <v>706</v>
      </c>
      <c r="N130" s="20" t="s">
        <v>646</v>
      </c>
      <c r="O130" s="20" t="n">
        <v>6</v>
      </c>
      <c r="P130" s="45" t="s">
        <v>101</v>
      </c>
      <c r="Q130" s="46"/>
    </row>
    <row r="131" customFormat="false" ht="45" hidden="false" customHeight="true" outlineLevel="0" collapsed="false">
      <c r="A131" s="19" t="s">
        <v>1278</v>
      </c>
      <c r="B131" s="21" t="s">
        <v>69</v>
      </c>
      <c r="C131" s="5" t="s">
        <v>1279</v>
      </c>
      <c r="D131" s="21" t="s">
        <v>1280</v>
      </c>
      <c r="E131" s="21" t="s">
        <v>69</v>
      </c>
      <c r="F131" s="21" t="s">
        <v>739</v>
      </c>
      <c r="G131" s="21" t="s">
        <v>1281</v>
      </c>
      <c r="H131" s="21" t="s">
        <v>963</v>
      </c>
      <c r="I131" s="42" t="s">
        <v>1282</v>
      </c>
      <c r="J131" s="43" t="s">
        <v>1283</v>
      </c>
      <c r="K131" s="19" t="s">
        <v>15</v>
      </c>
      <c r="L131" s="44" t="s">
        <v>5</v>
      </c>
      <c r="M131" s="19" t="s">
        <v>706</v>
      </c>
      <c r="N131" s="19" t="s">
        <v>646</v>
      </c>
      <c r="O131" s="19" t="n">
        <v>5</v>
      </c>
      <c r="P131" s="45" t="s">
        <v>101</v>
      </c>
      <c r="Q131" s="46"/>
    </row>
    <row r="132" customFormat="false" ht="45" hidden="false" customHeight="true" outlineLevel="0" collapsed="false">
      <c r="A132" s="20" t="s">
        <v>1284</v>
      </c>
      <c r="B132" s="22" t="s">
        <v>69</v>
      </c>
      <c r="C132" s="8" t="s">
        <v>1285</v>
      </c>
      <c r="D132" s="22" t="s">
        <v>1286</v>
      </c>
      <c r="E132" s="22" t="s">
        <v>69</v>
      </c>
      <c r="F132" s="22" t="s">
        <v>739</v>
      </c>
      <c r="G132" s="22" t="s">
        <v>1287</v>
      </c>
      <c r="H132" s="22" t="s">
        <v>1288</v>
      </c>
      <c r="I132" s="47" t="s">
        <v>944</v>
      </c>
      <c r="J132" s="48" t="s">
        <v>1289</v>
      </c>
      <c r="K132" s="20" t="s">
        <v>15</v>
      </c>
      <c r="L132" s="49" t="s">
        <v>5</v>
      </c>
      <c r="M132" s="20" t="s">
        <v>895</v>
      </c>
      <c r="N132" s="20" t="s">
        <v>646</v>
      </c>
      <c r="O132" s="20" t="n">
        <v>3</v>
      </c>
      <c r="P132" s="45" t="s">
        <v>101</v>
      </c>
      <c r="Q132" s="46"/>
    </row>
    <row r="133" customFormat="false" ht="45" hidden="false" customHeight="true" outlineLevel="0" collapsed="false">
      <c r="A133" s="19" t="s">
        <v>1290</v>
      </c>
      <c r="B133" s="21" t="s">
        <v>69</v>
      </c>
      <c r="C133" s="5" t="s">
        <v>1291</v>
      </c>
      <c r="D133" s="21" t="s">
        <v>1292</v>
      </c>
      <c r="E133" s="21" t="s">
        <v>69</v>
      </c>
      <c r="F133" s="21" t="s">
        <v>1293</v>
      </c>
      <c r="G133" s="21" t="s">
        <v>193</v>
      </c>
      <c r="H133" s="21" t="s">
        <v>1294</v>
      </c>
      <c r="I133" s="42" t="s">
        <v>1295</v>
      </c>
      <c r="J133" s="43" t="s">
        <v>1296</v>
      </c>
      <c r="K133" s="19" t="s">
        <v>15</v>
      </c>
      <c r="L133" s="44" t="s">
        <v>5</v>
      </c>
      <c r="M133" s="19" t="s">
        <v>986</v>
      </c>
      <c r="N133" s="19" t="s">
        <v>646</v>
      </c>
      <c r="O133" s="19" t="n">
        <v>1</v>
      </c>
      <c r="P133" s="45" t="s">
        <v>101</v>
      </c>
      <c r="Q133" s="46"/>
    </row>
    <row r="134" customFormat="false" ht="45" hidden="false" customHeight="true" outlineLevel="0" collapsed="false">
      <c r="A134" s="20" t="s">
        <v>315</v>
      </c>
      <c r="B134" s="22" t="s">
        <v>71</v>
      </c>
      <c r="C134" s="8" t="s">
        <v>316</v>
      </c>
      <c r="D134" s="22" t="s">
        <v>1297</v>
      </c>
      <c r="E134" s="22" t="s">
        <v>725</v>
      </c>
      <c r="F134" s="22" t="s">
        <v>666</v>
      </c>
      <c r="G134" s="22" t="s">
        <v>154</v>
      </c>
      <c r="H134" s="22" t="s">
        <v>642</v>
      </c>
      <c r="I134" s="47" t="s">
        <v>1298</v>
      </c>
      <c r="J134" s="48" t="s">
        <v>1299</v>
      </c>
      <c r="K134" s="20" t="s">
        <v>13</v>
      </c>
      <c r="L134" s="49" t="s">
        <v>5</v>
      </c>
      <c r="M134" s="20" t="s">
        <v>729</v>
      </c>
      <c r="N134" s="20" t="s">
        <v>671</v>
      </c>
      <c r="O134" s="20" t="n">
        <v>14</v>
      </c>
      <c r="P134" s="45" t="s">
        <v>101</v>
      </c>
      <c r="Q134" s="46"/>
    </row>
    <row r="135" customFormat="false" ht="45" hidden="false" customHeight="true" outlineLevel="0" collapsed="false">
      <c r="A135" s="19" t="s">
        <v>1300</v>
      </c>
      <c r="B135" s="21" t="s">
        <v>71</v>
      </c>
      <c r="C135" s="5" t="s">
        <v>1301</v>
      </c>
      <c r="D135" s="21" t="s">
        <v>1302</v>
      </c>
      <c r="E135" s="21" t="s">
        <v>601</v>
      </c>
      <c r="F135" s="21" t="s">
        <v>666</v>
      </c>
      <c r="G135" s="21" t="s">
        <v>154</v>
      </c>
      <c r="H135" s="21" t="s">
        <v>642</v>
      </c>
      <c r="I135" s="42" t="s">
        <v>1303</v>
      </c>
      <c r="J135" s="43" t="s">
        <v>1304</v>
      </c>
      <c r="K135" s="19" t="s">
        <v>15</v>
      </c>
      <c r="L135" s="44" t="s">
        <v>5</v>
      </c>
      <c r="M135" s="19" t="s">
        <v>923</v>
      </c>
      <c r="N135" s="19" t="s">
        <v>671</v>
      </c>
      <c r="O135" s="19" t="n">
        <v>8</v>
      </c>
      <c r="P135" s="45" t="s">
        <v>101</v>
      </c>
      <c r="Q135" s="46"/>
    </row>
    <row r="136" customFormat="false" ht="45" hidden="false" customHeight="true" outlineLevel="0" collapsed="false">
      <c r="A136" s="20" t="s">
        <v>1305</v>
      </c>
      <c r="B136" s="22" t="s">
        <v>71</v>
      </c>
      <c r="C136" s="8" t="s">
        <v>1306</v>
      </c>
      <c r="D136" s="22" t="s">
        <v>1307</v>
      </c>
      <c r="E136" s="22" t="s">
        <v>601</v>
      </c>
      <c r="F136" s="22" t="s">
        <v>666</v>
      </c>
      <c r="G136" s="22" t="s">
        <v>154</v>
      </c>
      <c r="H136" s="22" t="s">
        <v>642</v>
      </c>
      <c r="I136" s="47" t="s">
        <v>1308</v>
      </c>
      <c r="J136" s="48" t="s">
        <v>1309</v>
      </c>
      <c r="K136" s="20" t="s">
        <v>15</v>
      </c>
      <c r="L136" s="49" t="s">
        <v>5</v>
      </c>
      <c r="M136" s="20" t="s">
        <v>723</v>
      </c>
      <c r="N136" s="20" t="s">
        <v>671</v>
      </c>
      <c r="O136" s="20" t="n">
        <v>8</v>
      </c>
      <c r="P136" s="45" t="s">
        <v>101</v>
      </c>
      <c r="Q136" s="46"/>
    </row>
    <row r="137" customFormat="false" ht="45" hidden="false" customHeight="true" outlineLevel="0" collapsed="false">
      <c r="A137" s="19" t="s">
        <v>1310</v>
      </c>
      <c r="B137" s="21" t="s">
        <v>71</v>
      </c>
      <c r="C137" s="5" t="s">
        <v>1311</v>
      </c>
      <c r="D137" s="21" t="s">
        <v>1312</v>
      </c>
      <c r="E137" s="21" t="s">
        <v>601</v>
      </c>
      <c r="F137" s="21" t="s">
        <v>666</v>
      </c>
      <c r="G137" s="21" t="s">
        <v>154</v>
      </c>
      <c r="H137" s="21" t="s">
        <v>642</v>
      </c>
      <c r="I137" s="42" t="s">
        <v>1308</v>
      </c>
      <c r="J137" s="43" t="s">
        <v>1313</v>
      </c>
      <c r="K137" s="19" t="s">
        <v>15</v>
      </c>
      <c r="L137" s="44" t="s">
        <v>5</v>
      </c>
      <c r="M137" s="19" t="s">
        <v>723</v>
      </c>
      <c r="N137" s="19" t="s">
        <v>671</v>
      </c>
      <c r="O137" s="19" t="n">
        <v>8</v>
      </c>
      <c r="P137" s="45" t="s">
        <v>101</v>
      </c>
      <c r="Q137" s="46"/>
    </row>
    <row r="138" customFormat="false" ht="45" hidden="false" customHeight="true" outlineLevel="0" collapsed="false">
      <c r="A138" s="20" t="s">
        <v>1314</v>
      </c>
      <c r="B138" s="22" t="s">
        <v>71</v>
      </c>
      <c r="C138" s="8" t="s">
        <v>1315</v>
      </c>
      <c r="D138" s="22" t="s">
        <v>1316</v>
      </c>
      <c r="E138" s="22" t="s">
        <v>601</v>
      </c>
      <c r="F138" s="22" t="s">
        <v>666</v>
      </c>
      <c r="G138" s="22" t="s">
        <v>154</v>
      </c>
      <c r="H138" s="22" t="s">
        <v>642</v>
      </c>
      <c r="I138" s="47" t="s">
        <v>1308</v>
      </c>
      <c r="J138" s="48" t="s">
        <v>1317</v>
      </c>
      <c r="K138" s="20" t="s">
        <v>15</v>
      </c>
      <c r="L138" s="49" t="s">
        <v>129</v>
      </c>
      <c r="M138" s="20" t="s">
        <v>723</v>
      </c>
      <c r="N138" s="20" t="s">
        <v>671</v>
      </c>
      <c r="O138" s="20" t="n">
        <v>8</v>
      </c>
      <c r="P138" s="45" t="s">
        <v>101</v>
      </c>
      <c r="Q138" s="46"/>
    </row>
    <row r="139" customFormat="false" ht="45" hidden="false" customHeight="true" outlineLevel="0" collapsed="false">
      <c r="A139" s="19" t="s">
        <v>318</v>
      </c>
      <c r="B139" s="21" t="s">
        <v>71</v>
      </c>
      <c r="C139" s="5" t="s">
        <v>319</v>
      </c>
      <c r="D139" s="21" t="s">
        <v>1318</v>
      </c>
      <c r="E139" s="21" t="s">
        <v>601</v>
      </c>
      <c r="F139" s="21" t="s">
        <v>1089</v>
      </c>
      <c r="G139" s="21" t="s">
        <v>320</v>
      </c>
      <c r="H139" s="21" t="s">
        <v>1319</v>
      </c>
      <c r="I139" s="42" t="s">
        <v>1320</v>
      </c>
      <c r="J139" s="43" t="s">
        <v>1321</v>
      </c>
      <c r="K139" s="19" t="s">
        <v>13</v>
      </c>
      <c r="L139" s="44" t="s">
        <v>5</v>
      </c>
      <c r="M139" s="19" t="s">
        <v>729</v>
      </c>
      <c r="N139" s="19" t="s">
        <v>671</v>
      </c>
      <c r="O139" s="19" t="n">
        <v>6</v>
      </c>
      <c r="P139" s="45" t="s">
        <v>101</v>
      </c>
      <c r="Q139" s="46"/>
    </row>
    <row r="140" customFormat="false" ht="45" hidden="false" customHeight="true" outlineLevel="0" collapsed="false">
      <c r="A140" s="20" t="s">
        <v>321</v>
      </c>
      <c r="B140" s="22" t="s">
        <v>71</v>
      </c>
      <c r="C140" s="8" t="s">
        <v>322</v>
      </c>
      <c r="D140" s="22" t="s">
        <v>1322</v>
      </c>
      <c r="E140" s="22" t="s">
        <v>601</v>
      </c>
      <c r="F140" s="22" t="s">
        <v>1323</v>
      </c>
      <c r="G140" s="22" t="s">
        <v>323</v>
      </c>
      <c r="H140" s="22" t="s">
        <v>1324</v>
      </c>
      <c r="I140" s="47" t="s">
        <v>1325</v>
      </c>
      <c r="J140" s="48" t="s">
        <v>1326</v>
      </c>
      <c r="K140" s="20" t="s">
        <v>13</v>
      </c>
      <c r="L140" s="49" t="s">
        <v>5</v>
      </c>
      <c r="M140" s="20" t="s">
        <v>1327</v>
      </c>
      <c r="N140" s="20" t="s">
        <v>646</v>
      </c>
      <c r="O140" s="20" t="n">
        <v>6</v>
      </c>
      <c r="P140" s="45" t="s">
        <v>101</v>
      </c>
      <c r="Q140" s="46"/>
    </row>
    <row r="141" customFormat="false" ht="45" hidden="false" customHeight="true" outlineLevel="0" collapsed="false">
      <c r="A141" s="19" t="s">
        <v>1328</v>
      </c>
      <c r="B141" s="21" t="s">
        <v>71</v>
      </c>
      <c r="C141" s="5" t="s">
        <v>1329</v>
      </c>
      <c r="D141" s="21" t="s">
        <v>1330</v>
      </c>
      <c r="E141" s="21" t="s">
        <v>601</v>
      </c>
      <c r="F141" s="21" t="s">
        <v>1323</v>
      </c>
      <c r="G141" s="21" t="s">
        <v>1331</v>
      </c>
      <c r="H141" s="21" t="s">
        <v>1332</v>
      </c>
      <c r="I141" s="42" t="s">
        <v>1333</v>
      </c>
      <c r="J141" s="43" t="s">
        <v>1334</v>
      </c>
      <c r="K141" s="19" t="s">
        <v>15</v>
      </c>
      <c r="L141" s="44" t="s">
        <v>5</v>
      </c>
      <c r="M141" s="19" t="s">
        <v>1327</v>
      </c>
      <c r="N141" s="19" t="s">
        <v>646</v>
      </c>
      <c r="O141" s="19" t="n">
        <v>14</v>
      </c>
      <c r="P141" s="45" t="s">
        <v>101</v>
      </c>
      <c r="Q141" s="46"/>
    </row>
    <row r="142" customFormat="false" ht="45" hidden="false" customHeight="true" outlineLevel="0" collapsed="false">
      <c r="A142" s="20" t="s">
        <v>1335</v>
      </c>
      <c r="B142" s="22" t="s">
        <v>71</v>
      </c>
      <c r="C142" s="8" t="s">
        <v>1336</v>
      </c>
      <c r="D142" s="22" t="s">
        <v>1337</v>
      </c>
      <c r="E142" s="22" t="s">
        <v>601</v>
      </c>
      <c r="F142" s="22" t="s">
        <v>1323</v>
      </c>
      <c r="G142" s="22" t="s">
        <v>1338</v>
      </c>
      <c r="H142" s="22" t="s">
        <v>1324</v>
      </c>
      <c r="I142" s="47" t="s">
        <v>1339</v>
      </c>
      <c r="J142" s="48" t="s">
        <v>1340</v>
      </c>
      <c r="K142" s="20" t="s">
        <v>15</v>
      </c>
      <c r="L142" s="49" t="s">
        <v>5</v>
      </c>
      <c r="M142" s="20" t="s">
        <v>1327</v>
      </c>
      <c r="N142" s="20" t="s">
        <v>646</v>
      </c>
      <c r="O142" s="20" t="n">
        <v>9</v>
      </c>
      <c r="P142" s="45" t="s">
        <v>101</v>
      </c>
      <c r="Q142" s="46"/>
    </row>
    <row r="143" customFormat="false" ht="45" hidden="false" customHeight="true" outlineLevel="0" collapsed="false">
      <c r="A143" s="19" t="s">
        <v>1341</v>
      </c>
      <c r="B143" s="21" t="s">
        <v>71</v>
      </c>
      <c r="C143" s="5" t="s">
        <v>1342</v>
      </c>
      <c r="D143" s="21" t="s">
        <v>1343</v>
      </c>
      <c r="E143" s="21" t="s">
        <v>601</v>
      </c>
      <c r="F143" s="21" t="s">
        <v>1323</v>
      </c>
      <c r="G143" s="21" t="s">
        <v>1344</v>
      </c>
      <c r="H143" s="21" t="s">
        <v>1345</v>
      </c>
      <c r="I143" s="42" t="s">
        <v>1346</v>
      </c>
      <c r="J143" s="43" t="s">
        <v>1347</v>
      </c>
      <c r="K143" s="19" t="s">
        <v>15</v>
      </c>
      <c r="L143" s="44" t="s">
        <v>5</v>
      </c>
      <c r="M143" s="19" t="s">
        <v>941</v>
      </c>
      <c r="N143" s="19" t="s">
        <v>646</v>
      </c>
      <c r="O143" s="19" t="n">
        <v>10</v>
      </c>
      <c r="P143" s="45" t="s">
        <v>101</v>
      </c>
      <c r="Q143" s="46"/>
    </row>
    <row r="144" customFormat="false" ht="45" hidden="false" customHeight="true" outlineLevel="0" collapsed="false">
      <c r="A144" s="20" t="s">
        <v>1348</v>
      </c>
      <c r="B144" s="22" t="s">
        <v>71</v>
      </c>
      <c r="C144" s="8" t="s">
        <v>1349</v>
      </c>
      <c r="D144" s="22" t="s">
        <v>1350</v>
      </c>
      <c r="E144" s="22" t="s">
        <v>601</v>
      </c>
      <c r="F144" s="22" t="s">
        <v>1323</v>
      </c>
      <c r="G144" s="22" t="s">
        <v>1351</v>
      </c>
      <c r="H144" s="22" t="s">
        <v>1352</v>
      </c>
      <c r="I144" s="47" t="s">
        <v>1353</v>
      </c>
      <c r="J144" s="48" t="s">
        <v>1354</v>
      </c>
      <c r="K144" s="20" t="s">
        <v>15</v>
      </c>
      <c r="L144" s="49" t="s">
        <v>5</v>
      </c>
      <c r="M144" s="20" t="s">
        <v>1355</v>
      </c>
      <c r="N144" s="20" t="s">
        <v>646</v>
      </c>
      <c r="O144" s="20" t="n">
        <v>5</v>
      </c>
      <c r="P144" s="45" t="s">
        <v>101</v>
      </c>
      <c r="Q144" s="46"/>
    </row>
    <row r="145" customFormat="false" ht="45" hidden="false" customHeight="true" outlineLevel="0" collapsed="false">
      <c r="A145" s="19" t="s">
        <v>1356</v>
      </c>
      <c r="B145" s="21" t="s">
        <v>71</v>
      </c>
      <c r="C145" s="5" t="s">
        <v>1357</v>
      </c>
      <c r="D145" s="21" t="s">
        <v>1358</v>
      </c>
      <c r="E145" s="21" t="s">
        <v>601</v>
      </c>
      <c r="F145" s="21" t="s">
        <v>1323</v>
      </c>
      <c r="G145" s="21" t="s">
        <v>1359</v>
      </c>
      <c r="H145" s="21" t="s">
        <v>885</v>
      </c>
      <c r="I145" s="42" t="s">
        <v>1360</v>
      </c>
      <c r="J145" s="43" t="s">
        <v>1361</v>
      </c>
      <c r="K145" s="19" t="s">
        <v>15</v>
      </c>
      <c r="L145" s="44" t="s">
        <v>5</v>
      </c>
      <c r="M145" s="19" t="s">
        <v>1238</v>
      </c>
      <c r="N145" s="19" t="s">
        <v>646</v>
      </c>
      <c r="O145" s="19" t="n">
        <v>3</v>
      </c>
      <c r="P145" s="45" t="s">
        <v>101</v>
      </c>
      <c r="Q145" s="46"/>
    </row>
    <row r="146" customFormat="false" ht="45" hidden="false" customHeight="true" outlineLevel="0" collapsed="false">
      <c r="A146" s="20" t="s">
        <v>1362</v>
      </c>
      <c r="B146" s="22" t="s">
        <v>71</v>
      </c>
      <c r="C146" s="8" t="s">
        <v>1363</v>
      </c>
      <c r="D146" s="22" t="s">
        <v>1364</v>
      </c>
      <c r="E146" s="22" t="s">
        <v>601</v>
      </c>
      <c r="F146" s="22" t="s">
        <v>1323</v>
      </c>
      <c r="G146" s="22" t="s">
        <v>323</v>
      </c>
      <c r="H146" s="22" t="s">
        <v>1345</v>
      </c>
      <c r="I146" s="47" t="s">
        <v>1365</v>
      </c>
      <c r="J146" s="48" t="s">
        <v>1366</v>
      </c>
      <c r="K146" s="20" t="s">
        <v>15</v>
      </c>
      <c r="L146" s="49" t="s">
        <v>717</v>
      </c>
      <c r="M146" s="20" t="s">
        <v>1327</v>
      </c>
      <c r="N146" s="20" t="s">
        <v>646</v>
      </c>
      <c r="O146" s="20" t="n">
        <v>5</v>
      </c>
      <c r="P146" s="45" t="s">
        <v>101</v>
      </c>
      <c r="Q146" s="46"/>
    </row>
    <row r="147" customFormat="false" ht="45" hidden="false" customHeight="true" outlineLevel="0" collapsed="false">
      <c r="A147" s="19" t="s">
        <v>1367</v>
      </c>
      <c r="B147" s="21" t="s">
        <v>71</v>
      </c>
      <c r="C147" s="5" t="s">
        <v>1368</v>
      </c>
      <c r="D147" s="21" t="s">
        <v>1369</v>
      </c>
      <c r="E147" s="21" t="s">
        <v>601</v>
      </c>
      <c r="F147" s="21" t="s">
        <v>803</v>
      </c>
      <c r="G147" s="21" t="s">
        <v>1370</v>
      </c>
      <c r="H147" s="21" t="s">
        <v>1371</v>
      </c>
      <c r="I147" s="42" t="s">
        <v>1084</v>
      </c>
      <c r="J147" s="43" t="s">
        <v>1372</v>
      </c>
      <c r="K147" s="19" t="s">
        <v>15</v>
      </c>
      <c r="L147" s="44" t="s">
        <v>5</v>
      </c>
      <c r="M147" s="19" t="s">
        <v>923</v>
      </c>
      <c r="N147" s="19" t="s">
        <v>646</v>
      </c>
      <c r="O147" s="19" t="n">
        <v>3</v>
      </c>
      <c r="P147" s="45" t="s">
        <v>101</v>
      </c>
      <c r="Q147" s="46"/>
    </row>
    <row r="148" customFormat="false" ht="45" hidden="false" customHeight="true" outlineLevel="0" collapsed="false">
      <c r="A148" s="20" t="s">
        <v>1373</v>
      </c>
      <c r="B148" s="22" t="s">
        <v>71</v>
      </c>
      <c r="C148" s="8" t="s">
        <v>1374</v>
      </c>
      <c r="D148" s="22" t="s">
        <v>1375</v>
      </c>
      <c r="E148" s="22" t="s">
        <v>601</v>
      </c>
      <c r="F148" s="22" t="s">
        <v>803</v>
      </c>
      <c r="G148" s="22" t="s">
        <v>920</v>
      </c>
      <c r="H148" s="22" t="s">
        <v>1376</v>
      </c>
      <c r="I148" s="47" t="s">
        <v>1377</v>
      </c>
      <c r="J148" s="48" t="s">
        <v>1378</v>
      </c>
      <c r="K148" s="20" t="s">
        <v>17</v>
      </c>
      <c r="L148" s="49" t="s">
        <v>5</v>
      </c>
      <c r="M148" s="20" t="s">
        <v>1379</v>
      </c>
      <c r="N148" s="20" t="s">
        <v>646</v>
      </c>
      <c r="O148" s="20" t="n">
        <v>4</v>
      </c>
      <c r="P148" s="45" t="s">
        <v>101</v>
      </c>
      <c r="Q148" s="46"/>
    </row>
    <row r="149" customFormat="false" ht="45" hidden="false" customHeight="true" outlineLevel="0" collapsed="false">
      <c r="A149" s="19" t="s">
        <v>324</v>
      </c>
      <c r="B149" s="21" t="s">
        <v>71</v>
      </c>
      <c r="C149" s="5" t="s">
        <v>325</v>
      </c>
      <c r="D149" s="21" t="s">
        <v>1380</v>
      </c>
      <c r="E149" s="21" t="s">
        <v>601</v>
      </c>
      <c r="F149" s="21" t="s">
        <v>803</v>
      </c>
      <c r="G149" s="21" t="s">
        <v>326</v>
      </c>
      <c r="H149" s="21" t="s">
        <v>1381</v>
      </c>
      <c r="I149" s="42" t="s">
        <v>1084</v>
      </c>
      <c r="J149" s="43" t="s">
        <v>1382</v>
      </c>
      <c r="K149" s="19" t="s">
        <v>13</v>
      </c>
      <c r="L149" s="44" t="s">
        <v>5</v>
      </c>
      <c r="M149" s="19" t="s">
        <v>729</v>
      </c>
      <c r="N149" s="19" t="s">
        <v>646</v>
      </c>
      <c r="O149" s="19" t="n">
        <v>10</v>
      </c>
      <c r="P149" s="45" t="s">
        <v>101</v>
      </c>
      <c r="Q149" s="46"/>
    </row>
    <row r="150" customFormat="false" ht="45" hidden="false" customHeight="true" outlineLevel="0" collapsed="false">
      <c r="A150" s="20" t="s">
        <v>1383</v>
      </c>
      <c r="B150" s="22" t="s">
        <v>71</v>
      </c>
      <c r="C150" s="8" t="s">
        <v>1384</v>
      </c>
      <c r="D150" s="22" t="s">
        <v>1385</v>
      </c>
      <c r="E150" s="22" t="s">
        <v>601</v>
      </c>
      <c r="F150" s="22" t="s">
        <v>732</v>
      </c>
      <c r="G150" s="22" t="s">
        <v>1386</v>
      </c>
      <c r="H150" s="22" t="s">
        <v>726</v>
      </c>
      <c r="I150" s="47" t="s">
        <v>1084</v>
      </c>
      <c r="J150" s="48" t="s">
        <v>1387</v>
      </c>
      <c r="K150" s="20" t="s">
        <v>15</v>
      </c>
      <c r="L150" s="49" t="s">
        <v>5</v>
      </c>
      <c r="M150" s="20" t="s">
        <v>1388</v>
      </c>
      <c r="N150" s="20" t="s">
        <v>646</v>
      </c>
      <c r="O150" s="20" t="n">
        <v>1</v>
      </c>
      <c r="P150" s="45" t="s">
        <v>101</v>
      </c>
      <c r="Q150" s="46"/>
    </row>
    <row r="151" customFormat="false" ht="45" hidden="false" customHeight="true" outlineLevel="0" collapsed="false">
      <c r="A151" s="19" t="s">
        <v>1389</v>
      </c>
      <c r="B151" s="21" t="s">
        <v>71</v>
      </c>
      <c r="C151" s="5" t="s">
        <v>1390</v>
      </c>
      <c r="D151" s="21" t="s">
        <v>1391</v>
      </c>
      <c r="E151" s="21" t="s">
        <v>601</v>
      </c>
      <c r="F151" s="21" t="s">
        <v>744</v>
      </c>
      <c r="G151" s="21" t="s">
        <v>1392</v>
      </c>
      <c r="H151" s="21" t="s">
        <v>1393</v>
      </c>
      <c r="I151" s="42" t="s">
        <v>1394</v>
      </c>
      <c r="J151" s="43" t="s">
        <v>1395</v>
      </c>
      <c r="K151" s="19" t="s">
        <v>15</v>
      </c>
      <c r="L151" s="44" t="s">
        <v>5</v>
      </c>
      <c r="M151" s="19" t="s">
        <v>723</v>
      </c>
      <c r="N151" s="19" t="s">
        <v>646</v>
      </c>
      <c r="O151" s="19" t="n">
        <v>4</v>
      </c>
      <c r="P151" s="45" t="s">
        <v>101</v>
      </c>
      <c r="Q151" s="46"/>
    </row>
    <row r="152" customFormat="false" ht="45" hidden="false" customHeight="true" outlineLevel="0" collapsed="false">
      <c r="A152" s="20" t="s">
        <v>327</v>
      </c>
      <c r="B152" s="22" t="s">
        <v>71</v>
      </c>
      <c r="C152" s="8" t="s">
        <v>328</v>
      </c>
      <c r="D152" s="22" t="s">
        <v>1396</v>
      </c>
      <c r="E152" s="22" t="s">
        <v>601</v>
      </c>
      <c r="F152" s="22" t="s">
        <v>1293</v>
      </c>
      <c r="G152" s="22" t="s">
        <v>329</v>
      </c>
      <c r="H152" s="22" t="s">
        <v>921</v>
      </c>
      <c r="I152" s="47" t="s">
        <v>1084</v>
      </c>
      <c r="J152" s="48" t="s">
        <v>1397</v>
      </c>
      <c r="K152" s="20" t="s">
        <v>13</v>
      </c>
      <c r="L152" s="49" t="s">
        <v>5</v>
      </c>
      <c r="M152" s="20" t="s">
        <v>729</v>
      </c>
      <c r="N152" s="20" t="s">
        <v>646</v>
      </c>
      <c r="O152" s="20" t="n">
        <v>1</v>
      </c>
      <c r="P152" s="45" t="s">
        <v>101</v>
      </c>
      <c r="Q152" s="46"/>
    </row>
    <row r="153" customFormat="false" ht="45" hidden="false" customHeight="true" outlineLevel="0" collapsed="false">
      <c r="A153" s="19" t="s">
        <v>1398</v>
      </c>
      <c r="B153" s="21" t="s">
        <v>73</v>
      </c>
      <c r="C153" s="5" t="s">
        <v>1399</v>
      </c>
      <c r="D153" s="21" t="s">
        <v>1400</v>
      </c>
      <c r="E153" s="21" t="s">
        <v>1401</v>
      </c>
      <c r="F153" s="21" t="s">
        <v>739</v>
      </c>
      <c r="G153" s="21" t="s">
        <v>1402</v>
      </c>
      <c r="H153" s="21" t="s">
        <v>1403</v>
      </c>
      <c r="I153" s="42" t="s">
        <v>1404</v>
      </c>
      <c r="J153" s="43" t="s">
        <v>1405</v>
      </c>
      <c r="K153" s="19" t="s">
        <v>15</v>
      </c>
      <c r="L153" s="44" t="s">
        <v>5</v>
      </c>
      <c r="M153" s="19" t="s">
        <v>1406</v>
      </c>
      <c r="N153" s="19" t="s">
        <v>646</v>
      </c>
      <c r="O153" s="19" t="n">
        <v>12</v>
      </c>
      <c r="P153" s="45" t="s">
        <v>101</v>
      </c>
      <c r="Q153" s="46"/>
    </row>
    <row r="154" customFormat="false" ht="45" hidden="false" customHeight="true" outlineLevel="0" collapsed="false">
      <c r="A154" s="20" t="s">
        <v>1407</v>
      </c>
      <c r="B154" s="22" t="s">
        <v>73</v>
      </c>
      <c r="C154" s="8" t="s">
        <v>1408</v>
      </c>
      <c r="D154" s="22" t="s">
        <v>1409</v>
      </c>
      <c r="E154" s="22" t="s">
        <v>957</v>
      </c>
      <c r="F154" s="22" t="s">
        <v>739</v>
      </c>
      <c r="G154" s="22" t="s">
        <v>1410</v>
      </c>
      <c r="H154" s="22" t="s">
        <v>1411</v>
      </c>
      <c r="I154" s="47" t="s">
        <v>1412</v>
      </c>
      <c r="J154" s="48" t="s">
        <v>1413</v>
      </c>
      <c r="K154" s="20" t="s">
        <v>15</v>
      </c>
      <c r="L154" s="49" t="s">
        <v>5</v>
      </c>
      <c r="M154" s="20" t="s">
        <v>923</v>
      </c>
      <c r="N154" s="20" t="s">
        <v>646</v>
      </c>
      <c r="O154" s="20" t="n">
        <v>12</v>
      </c>
      <c r="P154" s="45" t="s">
        <v>101</v>
      </c>
      <c r="Q154" s="46"/>
    </row>
    <row r="155" customFormat="false" ht="45" hidden="false" customHeight="true" outlineLevel="0" collapsed="false">
      <c r="A155" s="19" t="s">
        <v>1414</v>
      </c>
      <c r="B155" s="21" t="s">
        <v>73</v>
      </c>
      <c r="C155" s="5" t="s">
        <v>1415</v>
      </c>
      <c r="D155" s="21" t="s">
        <v>1416</v>
      </c>
      <c r="E155" s="21" t="s">
        <v>601</v>
      </c>
      <c r="F155" s="21" t="s">
        <v>739</v>
      </c>
      <c r="G155" s="21" t="s">
        <v>1417</v>
      </c>
      <c r="H155" s="21" t="s">
        <v>1418</v>
      </c>
      <c r="I155" s="42" t="s">
        <v>783</v>
      </c>
      <c r="J155" s="43" t="s">
        <v>1419</v>
      </c>
      <c r="K155" s="19" t="s">
        <v>15</v>
      </c>
      <c r="L155" s="44" t="s">
        <v>717</v>
      </c>
      <c r="M155" s="19" t="s">
        <v>923</v>
      </c>
      <c r="N155" s="19" t="s">
        <v>646</v>
      </c>
      <c r="O155" s="19" t="n">
        <v>4</v>
      </c>
      <c r="P155" s="45" t="s">
        <v>101</v>
      </c>
      <c r="Q155" s="46"/>
    </row>
    <row r="156" customFormat="false" ht="45" hidden="false" customHeight="true" outlineLevel="0" collapsed="false">
      <c r="A156" s="20" t="s">
        <v>1420</v>
      </c>
      <c r="B156" s="22" t="s">
        <v>73</v>
      </c>
      <c r="C156" s="8" t="s">
        <v>1421</v>
      </c>
      <c r="D156" s="22" t="s">
        <v>1422</v>
      </c>
      <c r="E156" s="22" t="s">
        <v>957</v>
      </c>
      <c r="F156" s="22" t="s">
        <v>739</v>
      </c>
      <c r="G156" s="22" t="s">
        <v>1423</v>
      </c>
      <c r="H156" s="22" t="s">
        <v>1424</v>
      </c>
      <c r="I156" s="47" t="s">
        <v>1425</v>
      </c>
      <c r="J156" s="48" t="s">
        <v>1426</v>
      </c>
      <c r="K156" s="20" t="s">
        <v>15</v>
      </c>
      <c r="L156" s="49" t="s">
        <v>5</v>
      </c>
      <c r="M156" s="20" t="s">
        <v>923</v>
      </c>
      <c r="N156" s="20" t="s">
        <v>646</v>
      </c>
      <c r="O156" s="20" t="n">
        <v>8</v>
      </c>
      <c r="P156" s="45" t="s">
        <v>101</v>
      </c>
      <c r="Q156" s="46"/>
    </row>
    <row r="157" customFormat="false" ht="45" hidden="false" customHeight="true" outlineLevel="0" collapsed="false">
      <c r="A157" s="19" t="s">
        <v>1427</v>
      </c>
      <c r="B157" s="21" t="s">
        <v>73</v>
      </c>
      <c r="C157" s="5" t="s">
        <v>1428</v>
      </c>
      <c r="D157" s="21" t="s">
        <v>1429</v>
      </c>
      <c r="E157" s="21" t="s">
        <v>601</v>
      </c>
      <c r="F157" s="21" t="s">
        <v>739</v>
      </c>
      <c r="G157" s="21" t="s">
        <v>1430</v>
      </c>
      <c r="H157" s="21" t="s">
        <v>1431</v>
      </c>
      <c r="I157" s="42" t="s">
        <v>783</v>
      </c>
      <c r="J157" s="43" t="s">
        <v>1432</v>
      </c>
      <c r="K157" s="19" t="s">
        <v>15</v>
      </c>
      <c r="L157" s="44" t="s">
        <v>717</v>
      </c>
      <c r="M157" s="19" t="s">
        <v>923</v>
      </c>
      <c r="N157" s="19" t="s">
        <v>646</v>
      </c>
      <c r="O157" s="19" t="n">
        <v>5</v>
      </c>
      <c r="P157" s="45" t="s">
        <v>101</v>
      </c>
      <c r="Q157" s="46"/>
    </row>
    <row r="158" customFormat="false" ht="45" hidden="false" customHeight="true" outlineLevel="0" collapsed="false">
      <c r="A158" s="20" t="s">
        <v>330</v>
      </c>
      <c r="B158" s="22" t="s">
        <v>75</v>
      </c>
      <c r="C158" s="8" t="s">
        <v>331</v>
      </c>
      <c r="D158" s="22" t="s">
        <v>1433</v>
      </c>
      <c r="E158" s="22" t="s">
        <v>1434</v>
      </c>
      <c r="F158" s="22" t="s">
        <v>1435</v>
      </c>
      <c r="G158" s="22" t="s">
        <v>332</v>
      </c>
      <c r="H158" s="22" t="s">
        <v>1436</v>
      </c>
      <c r="I158" s="47" t="s">
        <v>1437</v>
      </c>
      <c r="J158" s="48" t="s">
        <v>1438</v>
      </c>
      <c r="K158" s="20" t="s">
        <v>13</v>
      </c>
      <c r="L158" s="49" t="s">
        <v>5</v>
      </c>
      <c r="M158" s="20" t="s">
        <v>729</v>
      </c>
      <c r="N158" s="20" t="s">
        <v>646</v>
      </c>
      <c r="O158" s="20" t="n">
        <v>18</v>
      </c>
      <c r="P158" s="45" t="s">
        <v>101</v>
      </c>
      <c r="Q158" s="46"/>
    </row>
    <row r="159" customFormat="false" ht="45" hidden="false" customHeight="true" outlineLevel="0" collapsed="false">
      <c r="A159" s="19" t="s">
        <v>1439</v>
      </c>
      <c r="B159" s="21" t="s">
        <v>75</v>
      </c>
      <c r="C159" s="5" t="s">
        <v>1440</v>
      </c>
      <c r="D159" s="21" t="s">
        <v>1441</v>
      </c>
      <c r="E159" s="21" t="s">
        <v>725</v>
      </c>
      <c r="F159" s="21" t="s">
        <v>1435</v>
      </c>
      <c r="G159" s="21" t="s">
        <v>1442</v>
      </c>
      <c r="H159" s="21" t="s">
        <v>1443</v>
      </c>
      <c r="I159" s="42" t="s">
        <v>1444</v>
      </c>
      <c r="J159" s="43" t="s">
        <v>1445</v>
      </c>
      <c r="K159" s="19" t="s">
        <v>15</v>
      </c>
      <c r="L159" s="44" t="s">
        <v>5</v>
      </c>
      <c r="M159" s="19" t="s">
        <v>1446</v>
      </c>
      <c r="N159" s="19" t="s">
        <v>646</v>
      </c>
      <c r="O159" s="19" t="n">
        <v>20</v>
      </c>
      <c r="P159" s="45" t="s">
        <v>101</v>
      </c>
      <c r="Q159" s="46"/>
    </row>
    <row r="160" customFormat="false" ht="45" hidden="false" customHeight="true" outlineLevel="0" collapsed="false">
      <c r="A160" s="20" t="s">
        <v>1447</v>
      </c>
      <c r="B160" s="22" t="s">
        <v>75</v>
      </c>
      <c r="C160" s="8" t="s">
        <v>1448</v>
      </c>
      <c r="D160" s="22" t="s">
        <v>1449</v>
      </c>
      <c r="E160" s="22" t="s">
        <v>1450</v>
      </c>
      <c r="F160" s="22" t="s">
        <v>1451</v>
      </c>
      <c r="G160" s="22" t="s">
        <v>1452</v>
      </c>
      <c r="H160" s="22" t="s">
        <v>1453</v>
      </c>
      <c r="I160" s="47" t="s">
        <v>1454</v>
      </c>
      <c r="J160" s="48" t="s">
        <v>1455</v>
      </c>
      <c r="K160" s="20" t="s">
        <v>15</v>
      </c>
      <c r="L160" s="49" t="s">
        <v>5</v>
      </c>
      <c r="M160" s="20" t="s">
        <v>1446</v>
      </c>
      <c r="N160" s="20" t="s">
        <v>646</v>
      </c>
      <c r="O160" s="20" t="n">
        <v>16</v>
      </c>
      <c r="P160" s="45" t="s">
        <v>101</v>
      </c>
      <c r="Q160" s="46"/>
    </row>
    <row r="161" customFormat="false" ht="45" hidden="false" customHeight="true" outlineLevel="0" collapsed="false">
      <c r="A161" s="19" t="s">
        <v>1456</v>
      </c>
      <c r="B161" s="21" t="s">
        <v>75</v>
      </c>
      <c r="C161" s="5" t="s">
        <v>1457</v>
      </c>
      <c r="D161" s="21" t="s">
        <v>1458</v>
      </c>
      <c r="E161" s="21" t="s">
        <v>957</v>
      </c>
      <c r="F161" s="21" t="s">
        <v>803</v>
      </c>
      <c r="G161" s="21" t="s">
        <v>1459</v>
      </c>
      <c r="H161" s="21" t="s">
        <v>1460</v>
      </c>
      <c r="I161" s="42" t="s">
        <v>1461</v>
      </c>
      <c r="J161" s="43" t="s">
        <v>1462</v>
      </c>
      <c r="K161" s="19" t="s">
        <v>15</v>
      </c>
      <c r="L161" s="44" t="s">
        <v>5</v>
      </c>
      <c r="M161" s="19" t="s">
        <v>1446</v>
      </c>
      <c r="N161" s="19" t="s">
        <v>646</v>
      </c>
      <c r="O161" s="19" t="n">
        <v>4</v>
      </c>
      <c r="P161" s="45" t="s">
        <v>101</v>
      </c>
      <c r="Q161" s="46"/>
    </row>
    <row r="162" customFormat="false" ht="45" hidden="false" customHeight="true" outlineLevel="0" collapsed="false">
      <c r="A162" s="20" t="s">
        <v>1463</v>
      </c>
      <c r="B162" s="22" t="s">
        <v>75</v>
      </c>
      <c r="C162" s="8" t="s">
        <v>1464</v>
      </c>
      <c r="D162" s="22" t="s">
        <v>1465</v>
      </c>
      <c r="E162" s="22" t="s">
        <v>1466</v>
      </c>
      <c r="F162" s="22" t="s">
        <v>1467</v>
      </c>
      <c r="G162" s="22" t="s">
        <v>145</v>
      </c>
      <c r="H162" s="22" t="s">
        <v>1468</v>
      </c>
      <c r="I162" s="47" t="s">
        <v>1469</v>
      </c>
      <c r="J162" s="48" t="s">
        <v>1470</v>
      </c>
      <c r="K162" s="20" t="s">
        <v>15</v>
      </c>
      <c r="L162" s="49" t="s">
        <v>5</v>
      </c>
      <c r="M162" s="20" t="s">
        <v>1446</v>
      </c>
      <c r="N162" s="20" t="s">
        <v>646</v>
      </c>
      <c r="O162" s="20" t="n">
        <v>24</v>
      </c>
      <c r="P162" s="45" t="s">
        <v>101</v>
      </c>
      <c r="Q162" s="46"/>
    </row>
    <row r="163" customFormat="false" ht="60" hidden="false" customHeight="true" outlineLevel="0" collapsed="false">
      <c r="A163" s="19" t="s">
        <v>1471</v>
      </c>
      <c r="B163" s="21" t="s">
        <v>75</v>
      </c>
      <c r="C163" s="5" t="s">
        <v>1472</v>
      </c>
      <c r="D163" s="21" t="s">
        <v>1473</v>
      </c>
      <c r="E163" s="21" t="s">
        <v>1474</v>
      </c>
      <c r="F163" s="21" t="s">
        <v>1467</v>
      </c>
      <c r="G163" s="21" t="s">
        <v>364</v>
      </c>
      <c r="H163" s="21" t="s">
        <v>1475</v>
      </c>
      <c r="I163" s="42" t="s">
        <v>1476</v>
      </c>
      <c r="J163" s="43" t="s">
        <v>1477</v>
      </c>
      <c r="K163" s="19" t="s">
        <v>15</v>
      </c>
      <c r="L163" s="44" t="s">
        <v>129</v>
      </c>
      <c r="M163" s="19" t="s">
        <v>1478</v>
      </c>
      <c r="N163" s="19" t="s">
        <v>646</v>
      </c>
      <c r="O163" s="19" t="n">
        <v>20</v>
      </c>
      <c r="P163" s="45" t="s">
        <v>101</v>
      </c>
      <c r="Q163" s="46"/>
    </row>
    <row r="164" customFormat="false" ht="45" hidden="false" customHeight="true" outlineLevel="0" collapsed="false">
      <c r="A164" s="20" t="s">
        <v>1479</v>
      </c>
      <c r="B164" s="22" t="s">
        <v>75</v>
      </c>
      <c r="C164" s="8" t="s">
        <v>1480</v>
      </c>
      <c r="D164" s="22" t="s">
        <v>1481</v>
      </c>
      <c r="E164" s="22" t="s">
        <v>1482</v>
      </c>
      <c r="F164" s="22" t="s">
        <v>1467</v>
      </c>
      <c r="G164" s="22" t="s">
        <v>145</v>
      </c>
      <c r="H164" s="22" t="s">
        <v>1483</v>
      </c>
      <c r="I164" s="47" t="s">
        <v>1484</v>
      </c>
      <c r="J164" s="48" t="s">
        <v>1485</v>
      </c>
      <c r="K164" s="20" t="s">
        <v>17</v>
      </c>
      <c r="L164" s="49" t="s">
        <v>717</v>
      </c>
      <c r="M164" s="20" t="s">
        <v>1486</v>
      </c>
      <c r="N164" s="20" t="s">
        <v>646</v>
      </c>
      <c r="O164" s="20" t="n">
        <v>3</v>
      </c>
      <c r="P164" s="45" t="s">
        <v>101</v>
      </c>
      <c r="Q164" s="46"/>
    </row>
    <row r="165" customFormat="false" ht="45" hidden="false" customHeight="true" outlineLevel="0" collapsed="false">
      <c r="A165" s="19" t="s">
        <v>1487</v>
      </c>
      <c r="B165" s="21" t="s">
        <v>75</v>
      </c>
      <c r="C165" s="5" t="s">
        <v>1488</v>
      </c>
      <c r="D165" s="21" t="s">
        <v>1489</v>
      </c>
      <c r="E165" s="21" t="s">
        <v>1490</v>
      </c>
      <c r="F165" s="21" t="s">
        <v>803</v>
      </c>
      <c r="G165" s="21" t="s">
        <v>346</v>
      </c>
      <c r="H165" s="21" t="s">
        <v>921</v>
      </c>
      <c r="I165" s="42" t="s">
        <v>1084</v>
      </c>
      <c r="J165" s="43" t="s">
        <v>1491</v>
      </c>
      <c r="K165" s="19" t="s">
        <v>15</v>
      </c>
      <c r="L165" s="44" t="s">
        <v>129</v>
      </c>
      <c r="M165" s="19" t="s">
        <v>1492</v>
      </c>
      <c r="N165" s="19" t="s">
        <v>646</v>
      </c>
      <c r="O165" s="19" t="n">
        <v>2</v>
      </c>
      <c r="P165" s="45" t="s">
        <v>101</v>
      </c>
      <c r="Q165" s="46"/>
    </row>
    <row r="166" customFormat="false" ht="45" hidden="false" customHeight="true" outlineLevel="0" collapsed="false">
      <c r="A166" s="20" t="s">
        <v>1493</v>
      </c>
      <c r="B166" s="22" t="s">
        <v>77</v>
      </c>
      <c r="C166" s="8" t="s">
        <v>1494</v>
      </c>
      <c r="D166" s="22" t="s">
        <v>1495</v>
      </c>
      <c r="E166" s="22" t="s">
        <v>1496</v>
      </c>
      <c r="F166" s="22" t="s">
        <v>803</v>
      </c>
      <c r="G166" s="22" t="s">
        <v>1497</v>
      </c>
      <c r="H166" s="22" t="s">
        <v>1498</v>
      </c>
      <c r="I166" s="47" t="s">
        <v>1499</v>
      </c>
      <c r="J166" s="48" t="s">
        <v>1500</v>
      </c>
      <c r="K166" s="20" t="s">
        <v>15</v>
      </c>
      <c r="L166" s="49" t="s">
        <v>5</v>
      </c>
      <c r="M166" s="20" t="s">
        <v>1501</v>
      </c>
      <c r="N166" s="20" t="s">
        <v>646</v>
      </c>
      <c r="O166" s="20" t="n">
        <v>6</v>
      </c>
      <c r="P166" s="45" t="s">
        <v>101</v>
      </c>
      <c r="Q166" s="46"/>
    </row>
    <row r="167" customFormat="false" ht="75" hidden="false" customHeight="true" outlineLevel="0" collapsed="false">
      <c r="A167" s="19" t="s">
        <v>1502</v>
      </c>
      <c r="B167" s="21" t="s">
        <v>77</v>
      </c>
      <c r="C167" s="5" t="s">
        <v>1503</v>
      </c>
      <c r="D167" s="21" t="s">
        <v>1504</v>
      </c>
      <c r="E167" s="21" t="s">
        <v>606</v>
      </c>
      <c r="F167" s="21" t="s">
        <v>1124</v>
      </c>
      <c r="G167" s="21" t="s">
        <v>332</v>
      </c>
      <c r="H167" s="21" t="s">
        <v>1505</v>
      </c>
      <c r="I167" s="42" t="s">
        <v>1506</v>
      </c>
      <c r="J167" s="43" t="s">
        <v>1507</v>
      </c>
      <c r="K167" s="19" t="s">
        <v>15</v>
      </c>
      <c r="L167" s="44" t="s">
        <v>5</v>
      </c>
      <c r="M167" s="19" t="s">
        <v>1508</v>
      </c>
      <c r="N167" s="19" t="s">
        <v>646</v>
      </c>
      <c r="O167" s="19" t="n">
        <v>40</v>
      </c>
      <c r="P167" s="45" t="s">
        <v>101</v>
      </c>
      <c r="Q167" s="46"/>
    </row>
    <row r="168" customFormat="false" ht="45" hidden="false" customHeight="true" outlineLevel="0" collapsed="false">
      <c r="A168" s="20" t="s">
        <v>1509</v>
      </c>
      <c r="B168" s="22" t="s">
        <v>77</v>
      </c>
      <c r="C168" s="8" t="s">
        <v>1510</v>
      </c>
      <c r="D168" s="22" t="s">
        <v>1511</v>
      </c>
      <c r="E168" s="22" t="s">
        <v>1512</v>
      </c>
      <c r="F168" s="22" t="s">
        <v>1467</v>
      </c>
      <c r="G168" s="22" t="s">
        <v>145</v>
      </c>
      <c r="H168" s="22" t="s">
        <v>1513</v>
      </c>
      <c r="I168" s="47" t="s">
        <v>1514</v>
      </c>
      <c r="J168" s="48" t="s">
        <v>1515</v>
      </c>
      <c r="K168" s="20" t="s">
        <v>15</v>
      </c>
      <c r="L168" s="49" t="s">
        <v>5</v>
      </c>
      <c r="M168" s="20" t="s">
        <v>1508</v>
      </c>
      <c r="N168" s="20" t="s">
        <v>646</v>
      </c>
      <c r="O168" s="20" t="n">
        <v>18</v>
      </c>
      <c r="P168" s="45" t="s">
        <v>101</v>
      </c>
      <c r="Q168" s="46"/>
    </row>
    <row r="169" customFormat="false" ht="60" hidden="false" customHeight="true" outlineLevel="0" collapsed="false">
      <c r="A169" s="19" t="s">
        <v>1516</v>
      </c>
      <c r="B169" s="21" t="s">
        <v>77</v>
      </c>
      <c r="C169" s="5" t="s">
        <v>1517</v>
      </c>
      <c r="D169" s="21" t="s">
        <v>1518</v>
      </c>
      <c r="E169" s="21" t="s">
        <v>606</v>
      </c>
      <c r="F169" s="21" t="s">
        <v>803</v>
      </c>
      <c r="G169" s="21" t="s">
        <v>1519</v>
      </c>
      <c r="H169" s="21" t="s">
        <v>1520</v>
      </c>
      <c r="I169" s="42" t="s">
        <v>1521</v>
      </c>
      <c r="J169" s="43" t="s">
        <v>1522</v>
      </c>
      <c r="K169" s="19" t="s">
        <v>15</v>
      </c>
      <c r="L169" s="44" t="s">
        <v>5</v>
      </c>
      <c r="M169" s="19" t="s">
        <v>1508</v>
      </c>
      <c r="N169" s="19" t="s">
        <v>646</v>
      </c>
      <c r="O169" s="19" t="n">
        <v>8</v>
      </c>
      <c r="P169" s="45" t="s">
        <v>101</v>
      </c>
      <c r="Q169" s="46"/>
    </row>
    <row r="170" customFormat="false" ht="45" hidden="false" customHeight="true" outlineLevel="0" collapsed="false">
      <c r="A170" s="20" t="s">
        <v>1523</v>
      </c>
      <c r="B170" s="22" t="s">
        <v>77</v>
      </c>
      <c r="C170" s="8" t="s">
        <v>1524</v>
      </c>
      <c r="D170" s="22" t="s">
        <v>1525</v>
      </c>
      <c r="E170" s="22" t="s">
        <v>606</v>
      </c>
      <c r="F170" s="22" t="s">
        <v>803</v>
      </c>
      <c r="G170" s="22" t="s">
        <v>1526</v>
      </c>
      <c r="H170" s="22" t="s">
        <v>1527</v>
      </c>
      <c r="I170" s="47" t="s">
        <v>1084</v>
      </c>
      <c r="J170" s="48" t="s">
        <v>1528</v>
      </c>
      <c r="K170" s="20" t="s">
        <v>15</v>
      </c>
      <c r="L170" s="49" t="s">
        <v>129</v>
      </c>
      <c r="M170" s="20" t="s">
        <v>1508</v>
      </c>
      <c r="N170" s="20" t="s">
        <v>646</v>
      </c>
      <c r="O170" s="20" t="n">
        <v>3</v>
      </c>
      <c r="P170" s="45" t="s">
        <v>101</v>
      </c>
      <c r="Q170" s="46"/>
    </row>
    <row r="171" customFormat="false" ht="60" hidden="false" customHeight="true" outlineLevel="0" collapsed="false">
      <c r="A171" s="19" t="s">
        <v>341</v>
      </c>
      <c r="B171" s="21" t="s">
        <v>79</v>
      </c>
      <c r="C171" s="5" t="s">
        <v>342</v>
      </c>
      <c r="D171" s="21" t="s">
        <v>1529</v>
      </c>
      <c r="E171" s="21" t="s">
        <v>79</v>
      </c>
      <c r="F171" s="21" t="s">
        <v>666</v>
      </c>
      <c r="G171" s="21" t="s">
        <v>667</v>
      </c>
      <c r="H171" s="21" t="s">
        <v>1530</v>
      </c>
      <c r="I171" s="42" t="s">
        <v>1531</v>
      </c>
      <c r="J171" s="43" t="s">
        <v>1532</v>
      </c>
      <c r="K171" s="19" t="s">
        <v>13</v>
      </c>
      <c r="L171" s="44" t="s">
        <v>5</v>
      </c>
      <c r="M171" s="19" t="s">
        <v>815</v>
      </c>
      <c r="N171" s="19" t="s">
        <v>646</v>
      </c>
      <c r="O171" s="19" t="n">
        <v>12</v>
      </c>
      <c r="P171" s="45" t="s">
        <v>101</v>
      </c>
      <c r="Q171" s="46"/>
    </row>
    <row r="172" customFormat="false" ht="45" hidden="false" customHeight="true" outlineLevel="0" collapsed="false">
      <c r="A172" s="20" t="s">
        <v>344</v>
      </c>
      <c r="B172" s="22" t="s">
        <v>79</v>
      </c>
      <c r="C172" s="8" t="s">
        <v>345</v>
      </c>
      <c r="D172" s="22" t="s">
        <v>1533</v>
      </c>
      <c r="E172" s="22" t="s">
        <v>79</v>
      </c>
      <c r="F172" s="22" t="s">
        <v>1013</v>
      </c>
      <c r="G172" s="22" t="s">
        <v>346</v>
      </c>
      <c r="H172" s="22" t="s">
        <v>1534</v>
      </c>
      <c r="I172" s="47" t="s">
        <v>944</v>
      </c>
      <c r="J172" s="48" t="s">
        <v>1535</v>
      </c>
      <c r="K172" s="20" t="s">
        <v>13</v>
      </c>
      <c r="L172" s="49" t="s">
        <v>5</v>
      </c>
      <c r="M172" s="20" t="s">
        <v>815</v>
      </c>
      <c r="N172" s="20" t="s">
        <v>646</v>
      </c>
      <c r="O172" s="20" t="n">
        <v>7</v>
      </c>
      <c r="P172" s="45" t="s">
        <v>101</v>
      </c>
      <c r="Q172" s="46"/>
    </row>
    <row r="173" customFormat="false" ht="45" hidden="false" customHeight="true" outlineLevel="0" collapsed="false">
      <c r="A173" s="19" t="s">
        <v>347</v>
      </c>
      <c r="B173" s="21" t="s">
        <v>79</v>
      </c>
      <c r="C173" s="5" t="s">
        <v>348</v>
      </c>
      <c r="D173" s="21" t="s">
        <v>1536</v>
      </c>
      <c r="E173" s="21" t="s">
        <v>79</v>
      </c>
      <c r="F173" s="21" t="s">
        <v>803</v>
      </c>
      <c r="G173" s="21" t="s">
        <v>349</v>
      </c>
      <c r="H173" s="21" t="s">
        <v>1537</v>
      </c>
      <c r="I173" s="42" t="s">
        <v>1538</v>
      </c>
      <c r="J173" s="43" t="s">
        <v>1539</v>
      </c>
      <c r="K173" s="19" t="s">
        <v>13</v>
      </c>
      <c r="L173" s="44" t="s">
        <v>5</v>
      </c>
      <c r="M173" s="19" t="s">
        <v>815</v>
      </c>
      <c r="N173" s="19" t="s">
        <v>646</v>
      </c>
      <c r="O173" s="19" t="n">
        <v>2</v>
      </c>
      <c r="P173" s="45" t="s">
        <v>101</v>
      </c>
      <c r="Q173" s="46"/>
    </row>
    <row r="174" customFormat="false" ht="45" hidden="false" customHeight="true" outlineLevel="0" collapsed="false">
      <c r="A174" s="20" t="s">
        <v>1540</v>
      </c>
      <c r="B174" s="22" t="s">
        <v>79</v>
      </c>
      <c r="C174" s="8" t="s">
        <v>1541</v>
      </c>
      <c r="D174" s="22" t="s">
        <v>1542</v>
      </c>
      <c r="E174" s="22" t="s">
        <v>1543</v>
      </c>
      <c r="F174" s="22" t="s">
        <v>1013</v>
      </c>
      <c r="G174" s="22" t="s">
        <v>227</v>
      </c>
      <c r="H174" s="22" t="s">
        <v>1544</v>
      </c>
      <c r="I174" s="47" t="s">
        <v>1545</v>
      </c>
      <c r="J174" s="48" t="s">
        <v>1546</v>
      </c>
      <c r="K174" s="20" t="s">
        <v>15</v>
      </c>
      <c r="L174" s="49" t="s">
        <v>5</v>
      </c>
      <c r="M174" s="20" t="s">
        <v>677</v>
      </c>
      <c r="N174" s="20" t="s">
        <v>646</v>
      </c>
      <c r="O174" s="20" t="n">
        <v>3</v>
      </c>
      <c r="P174" s="45" t="s">
        <v>101</v>
      </c>
      <c r="Q174" s="46"/>
    </row>
    <row r="175" customFormat="false" ht="45" hidden="false" customHeight="true" outlineLevel="0" collapsed="false">
      <c r="A175" s="19" t="s">
        <v>1547</v>
      </c>
      <c r="B175" s="21" t="s">
        <v>81</v>
      </c>
      <c r="C175" s="5" t="s">
        <v>1548</v>
      </c>
      <c r="D175" s="21" t="s">
        <v>1549</v>
      </c>
      <c r="E175" s="21" t="s">
        <v>614</v>
      </c>
      <c r="F175" s="21" t="s">
        <v>666</v>
      </c>
      <c r="G175" s="21" t="s">
        <v>667</v>
      </c>
      <c r="H175" s="21" t="s">
        <v>642</v>
      </c>
      <c r="I175" s="42" t="s">
        <v>1550</v>
      </c>
      <c r="J175" s="43" t="s">
        <v>1551</v>
      </c>
      <c r="K175" s="19" t="s">
        <v>15</v>
      </c>
      <c r="L175" s="44" t="s">
        <v>5</v>
      </c>
      <c r="M175" s="19" t="s">
        <v>1552</v>
      </c>
      <c r="N175" s="19" t="s">
        <v>671</v>
      </c>
      <c r="O175" s="19" t="n">
        <v>10</v>
      </c>
      <c r="P175" s="45" t="s">
        <v>101</v>
      </c>
      <c r="Q175" s="46"/>
    </row>
    <row r="176" customFormat="false" ht="45" hidden="false" customHeight="true" outlineLevel="0" collapsed="false">
      <c r="A176" s="20" t="s">
        <v>334</v>
      </c>
      <c r="B176" s="22" t="s">
        <v>81</v>
      </c>
      <c r="C176" s="8" t="s">
        <v>335</v>
      </c>
      <c r="D176" s="22" t="s">
        <v>1553</v>
      </c>
      <c r="E176" s="22" t="s">
        <v>1554</v>
      </c>
      <c r="F176" s="22" t="s">
        <v>1293</v>
      </c>
      <c r="G176" s="22" t="s">
        <v>336</v>
      </c>
      <c r="H176" s="22" t="s">
        <v>1555</v>
      </c>
      <c r="I176" s="47" t="s">
        <v>1556</v>
      </c>
      <c r="J176" s="48" t="s">
        <v>1557</v>
      </c>
      <c r="K176" s="20" t="s">
        <v>13</v>
      </c>
      <c r="L176" s="49" t="s">
        <v>5</v>
      </c>
      <c r="M176" s="20" t="s">
        <v>1552</v>
      </c>
      <c r="N176" s="20" t="s">
        <v>646</v>
      </c>
      <c r="O176" s="20" t="n">
        <v>5</v>
      </c>
      <c r="P176" s="45" t="s">
        <v>101</v>
      </c>
      <c r="Q176" s="46"/>
    </row>
    <row r="177" customFormat="false" ht="45" hidden="false" customHeight="true" outlineLevel="0" collapsed="false">
      <c r="A177" s="19" t="s">
        <v>338</v>
      </c>
      <c r="B177" s="21" t="s">
        <v>81</v>
      </c>
      <c r="C177" s="5" t="s">
        <v>339</v>
      </c>
      <c r="D177" s="21" t="s">
        <v>1558</v>
      </c>
      <c r="E177" s="21" t="s">
        <v>1554</v>
      </c>
      <c r="F177" s="21" t="s">
        <v>1013</v>
      </c>
      <c r="G177" s="21" t="s">
        <v>340</v>
      </c>
      <c r="H177" s="21" t="s">
        <v>1559</v>
      </c>
      <c r="I177" s="42" t="s">
        <v>944</v>
      </c>
      <c r="J177" s="43" t="s">
        <v>1560</v>
      </c>
      <c r="K177" s="19" t="s">
        <v>13</v>
      </c>
      <c r="L177" s="44" t="s">
        <v>5</v>
      </c>
      <c r="M177" s="19" t="s">
        <v>916</v>
      </c>
      <c r="N177" s="19" t="s">
        <v>646</v>
      </c>
      <c r="O177" s="19" t="n">
        <v>5</v>
      </c>
      <c r="P177" s="45" t="s">
        <v>101</v>
      </c>
      <c r="Q177" s="46"/>
    </row>
    <row r="178" customFormat="false" ht="60" hidden="false" customHeight="true" outlineLevel="0" collapsed="false">
      <c r="A178" s="20" t="s">
        <v>1561</v>
      </c>
      <c r="B178" s="22" t="s">
        <v>81</v>
      </c>
      <c r="C178" s="8" t="s">
        <v>1562</v>
      </c>
      <c r="D178" s="22" t="s">
        <v>1563</v>
      </c>
      <c r="E178" s="22" t="s">
        <v>614</v>
      </c>
      <c r="F178" s="22" t="s">
        <v>1564</v>
      </c>
      <c r="G178" s="22" t="s">
        <v>1565</v>
      </c>
      <c r="H178" s="22" t="s">
        <v>1566</v>
      </c>
      <c r="I178" s="47" t="s">
        <v>1567</v>
      </c>
      <c r="J178" s="48" t="s">
        <v>1568</v>
      </c>
      <c r="K178" s="20" t="s">
        <v>15</v>
      </c>
      <c r="L178" s="49" t="s">
        <v>129</v>
      </c>
      <c r="M178" s="20" t="s">
        <v>1478</v>
      </c>
      <c r="N178" s="20" t="s">
        <v>646</v>
      </c>
      <c r="O178" s="20" t="n">
        <v>20</v>
      </c>
      <c r="P178" s="45" t="s">
        <v>101</v>
      </c>
      <c r="Q178" s="46"/>
    </row>
    <row r="179" customFormat="false" ht="45" hidden="false" customHeight="true" outlineLevel="0" collapsed="false">
      <c r="A179" s="19" t="s">
        <v>248</v>
      </c>
      <c r="B179" s="21" t="s">
        <v>83</v>
      </c>
      <c r="C179" s="5" t="s">
        <v>249</v>
      </c>
      <c r="D179" s="21" t="s">
        <v>1569</v>
      </c>
      <c r="E179" s="21" t="s">
        <v>490</v>
      </c>
      <c r="F179" s="21" t="s">
        <v>1570</v>
      </c>
      <c r="G179" s="21" t="s">
        <v>250</v>
      </c>
      <c r="H179" s="21" t="s">
        <v>642</v>
      </c>
      <c r="I179" s="42" t="s">
        <v>1571</v>
      </c>
      <c r="J179" s="43" t="s">
        <v>1572</v>
      </c>
      <c r="K179" s="19" t="s">
        <v>13</v>
      </c>
      <c r="L179" s="44" t="s">
        <v>5</v>
      </c>
      <c r="M179" s="19" t="s">
        <v>1573</v>
      </c>
      <c r="N179" s="19" t="s">
        <v>646</v>
      </c>
      <c r="O179" s="19" t="n">
        <v>3</v>
      </c>
      <c r="P179" s="45" t="s">
        <v>101</v>
      </c>
      <c r="Q179" s="46"/>
    </row>
    <row r="180" customFormat="false" ht="45" hidden="false" customHeight="true" outlineLevel="0" collapsed="false">
      <c r="A180" s="20" t="s">
        <v>252</v>
      </c>
      <c r="B180" s="22" t="s">
        <v>83</v>
      </c>
      <c r="C180" s="8" t="s">
        <v>253</v>
      </c>
      <c r="D180" s="22" t="s">
        <v>1574</v>
      </c>
      <c r="E180" s="22" t="s">
        <v>490</v>
      </c>
      <c r="F180" s="22" t="s">
        <v>1570</v>
      </c>
      <c r="G180" s="22" t="s">
        <v>254</v>
      </c>
      <c r="H180" s="22" t="s">
        <v>662</v>
      </c>
      <c r="I180" s="47" t="s">
        <v>783</v>
      </c>
      <c r="J180" s="48" t="s">
        <v>1575</v>
      </c>
      <c r="K180" s="20" t="s">
        <v>13</v>
      </c>
      <c r="L180" s="49" t="s">
        <v>5</v>
      </c>
      <c r="M180" s="20" t="s">
        <v>1573</v>
      </c>
      <c r="N180" s="20" t="s">
        <v>646</v>
      </c>
      <c r="O180" s="20" t="n">
        <v>3</v>
      </c>
      <c r="P180" s="45" t="s">
        <v>101</v>
      </c>
      <c r="Q180" s="46"/>
    </row>
    <row r="181" customFormat="false" ht="45" hidden="false" customHeight="true" outlineLevel="0" collapsed="false">
      <c r="A181" s="19" t="s">
        <v>255</v>
      </c>
      <c r="B181" s="21" t="s">
        <v>83</v>
      </c>
      <c r="C181" s="5" t="s">
        <v>256</v>
      </c>
      <c r="D181" s="21" t="s">
        <v>1576</v>
      </c>
      <c r="E181" s="21" t="s">
        <v>490</v>
      </c>
      <c r="F181" s="21" t="s">
        <v>1570</v>
      </c>
      <c r="G181" s="21" t="s">
        <v>257</v>
      </c>
      <c r="H181" s="21" t="s">
        <v>909</v>
      </c>
      <c r="I181" s="42" t="s">
        <v>1577</v>
      </c>
      <c r="J181" s="43" t="s">
        <v>1578</v>
      </c>
      <c r="K181" s="19" t="s">
        <v>13</v>
      </c>
      <c r="L181" s="44" t="s">
        <v>5</v>
      </c>
      <c r="M181" s="19" t="s">
        <v>1573</v>
      </c>
      <c r="N181" s="19" t="s">
        <v>646</v>
      </c>
      <c r="O181" s="19" t="n">
        <v>3</v>
      </c>
      <c r="P181" s="45" t="s">
        <v>101</v>
      </c>
      <c r="Q181" s="46"/>
    </row>
    <row r="182" customFormat="false" ht="45" hidden="false" customHeight="true" outlineLevel="0" collapsed="false">
      <c r="A182" s="20" t="s">
        <v>1579</v>
      </c>
      <c r="B182" s="22" t="s">
        <v>83</v>
      </c>
      <c r="C182" s="8" t="s">
        <v>1580</v>
      </c>
      <c r="D182" s="22" t="s">
        <v>1581</v>
      </c>
      <c r="E182" s="22" t="s">
        <v>1582</v>
      </c>
      <c r="F182" s="22" t="s">
        <v>803</v>
      </c>
      <c r="G182" s="22" t="s">
        <v>1583</v>
      </c>
      <c r="H182" s="22" t="s">
        <v>1584</v>
      </c>
      <c r="I182" s="47" t="s">
        <v>1585</v>
      </c>
      <c r="J182" s="48" t="s">
        <v>1586</v>
      </c>
      <c r="K182" s="20" t="s">
        <v>15</v>
      </c>
      <c r="L182" s="49" t="s">
        <v>5</v>
      </c>
      <c r="M182" s="20" t="s">
        <v>1587</v>
      </c>
      <c r="N182" s="20" t="s">
        <v>646</v>
      </c>
      <c r="O182" s="20" t="n">
        <v>4</v>
      </c>
      <c r="P182" s="45" t="s">
        <v>101</v>
      </c>
      <c r="Q182" s="46"/>
    </row>
    <row r="183" customFormat="false" ht="45" hidden="false" customHeight="true" outlineLevel="0" collapsed="false">
      <c r="A183" s="19" t="s">
        <v>258</v>
      </c>
      <c r="B183" s="21" t="s">
        <v>83</v>
      </c>
      <c r="C183" s="5" t="s">
        <v>259</v>
      </c>
      <c r="D183" s="21" t="s">
        <v>1588</v>
      </c>
      <c r="E183" s="21" t="s">
        <v>86</v>
      </c>
      <c r="F183" s="21" t="s">
        <v>1589</v>
      </c>
      <c r="G183" s="21" t="s">
        <v>260</v>
      </c>
      <c r="H183" s="21" t="s">
        <v>1590</v>
      </c>
      <c r="I183" s="42" t="s">
        <v>1591</v>
      </c>
      <c r="J183" s="43" t="s">
        <v>1592</v>
      </c>
      <c r="K183" s="19" t="s">
        <v>13</v>
      </c>
      <c r="L183" s="44" t="s">
        <v>5</v>
      </c>
      <c r="M183" s="19" t="s">
        <v>1573</v>
      </c>
      <c r="N183" s="19" t="s">
        <v>646</v>
      </c>
      <c r="O183" s="19" t="n">
        <v>2</v>
      </c>
      <c r="P183" s="45" t="s">
        <v>101</v>
      </c>
      <c r="Q183" s="46"/>
    </row>
    <row r="184" customFormat="false" ht="45" hidden="false" customHeight="true" outlineLevel="0" collapsed="false">
      <c r="A184" s="20" t="s">
        <v>1593</v>
      </c>
      <c r="B184" s="22" t="s">
        <v>83</v>
      </c>
      <c r="C184" s="8" t="s">
        <v>1594</v>
      </c>
      <c r="D184" s="22" t="s">
        <v>1595</v>
      </c>
      <c r="E184" s="22" t="s">
        <v>1596</v>
      </c>
      <c r="F184" s="22" t="s">
        <v>803</v>
      </c>
      <c r="G184" s="22" t="s">
        <v>1597</v>
      </c>
      <c r="H184" s="22" t="s">
        <v>1042</v>
      </c>
      <c r="I184" s="47" t="s">
        <v>1598</v>
      </c>
      <c r="J184" s="48" t="s">
        <v>1599</v>
      </c>
      <c r="K184" s="20" t="s">
        <v>15</v>
      </c>
      <c r="L184" s="49" t="s">
        <v>5</v>
      </c>
      <c r="M184" s="20" t="s">
        <v>1587</v>
      </c>
      <c r="N184" s="20" t="s">
        <v>646</v>
      </c>
      <c r="O184" s="20" t="n">
        <v>1</v>
      </c>
      <c r="P184" s="45" t="s">
        <v>101</v>
      </c>
      <c r="Q184" s="46"/>
    </row>
    <row r="185" customFormat="false" ht="45" hidden="false" customHeight="true" outlineLevel="0" collapsed="false">
      <c r="A185" s="19" t="s">
        <v>261</v>
      </c>
      <c r="B185" s="21" t="s">
        <v>83</v>
      </c>
      <c r="C185" s="5" t="s">
        <v>262</v>
      </c>
      <c r="D185" s="21" t="s">
        <v>1600</v>
      </c>
      <c r="E185" s="21" t="s">
        <v>1601</v>
      </c>
      <c r="F185" s="21" t="s">
        <v>1570</v>
      </c>
      <c r="G185" s="21" t="s">
        <v>263</v>
      </c>
      <c r="H185" s="21" t="s">
        <v>1602</v>
      </c>
      <c r="I185" s="42" t="s">
        <v>1603</v>
      </c>
      <c r="J185" s="43" t="s">
        <v>1604</v>
      </c>
      <c r="K185" s="19" t="s">
        <v>13</v>
      </c>
      <c r="L185" s="44" t="s">
        <v>5</v>
      </c>
      <c r="M185" s="19" t="s">
        <v>729</v>
      </c>
      <c r="N185" s="19" t="s">
        <v>646</v>
      </c>
      <c r="O185" s="19" t="n">
        <v>3</v>
      </c>
      <c r="P185" s="45" t="s">
        <v>101</v>
      </c>
      <c r="Q185" s="46"/>
    </row>
    <row r="186" customFormat="false" ht="45" hidden="false" customHeight="true" outlineLevel="0" collapsed="false">
      <c r="A186" s="20" t="s">
        <v>264</v>
      </c>
      <c r="B186" s="22" t="s">
        <v>83</v>
      </c>
      <c r="C186" s="8" t="s">
        <v>265</v>
      </c>
      <c r="D186" s="22" t="s">
        <v>1605</v>
      </c>
      <c r="E186" s="22" t="s">
        <v>490</v>
      </c>
      <c r="F186" s="22" t="s">
        <v>1570</v>
      </c>
      <c r="G186" s="22" t="s">
        <v>266</v>
      </c>
      <c r="H186" s="22" t="s">
        <v>642</v>
      </c>
      <c r="I186" s="47" t="s">
        <v>1606</v>
      </c>
      <c r="J186" s="48" t="s">
        <v>1607</v>
      </c>
      <c r="K186" s="20" t="s">
        <v>13</v>
      </c>
      <c r="L186" s="49" t="s">
        <v>5</v>
      </c>
      <c r="M186" s="20" t="s">
        <v>1573</v>
      </c>
      <c r="N186" s="20" t="s">
        <v>646</v>
      </c>
      <c r="O186" s="20" t="n">
        <v>1</v>
      </c>
      <c r="P186" s="45" t="s">
        <v>101</v>
      </c>
      <c r="Q186" s="46"/>
    </row>
    <row r="187" customFormat="false" ht="45" hidden="false" customHeight="true" outlineLevel="0" collapsed="false">
      <c r="A187" s="19" t="s">
        <v>267</v>
      </c>
      <c r="B187" s="21" t="s">
        <v>83</v>
      </c>
      <c r="C187" s="5" t="s">
        <v>268</v>
      </c>
      <c r="D187" s="21" t="s">
        <v>1608</v>
      </c>
      <c r="E187" s="21" t="s">
        <v>1482</v>
      </c>
      <c r="F187" s="21" t="s">
        <v>1609</v>
      </c>
      <c r="G187" s="21" t="s">
        <v>269</v>
      </c>
      <c r="H187" s="21" t="s">
        <v>642</v>
      </c>
      <c r="I187" s="42" t="s">
        <v>1610</v>
      </c>
      <c r="J187" s="43" t="s">
        <v>1611</v>
      </c>
      <c r="K187" s="19" t="s">
        <v>13</v>
      </c>
      <c r="L187" s="44" t="s">
        <v>5</v>
      </c>
      <c r="M187" s="19" t="s">
        <v>677</v>
      </c>
      <c r="N187" s="19" t="s">
        <v>646</v>
      </c>
      <c r="O187" s="19" t="n">
        <v>3</v>
      </c>
      <c r="P187" s="45" t="s">
        <v>101</v>
      </c>
      <c r="Q187" s="46"/>
    </row>
    <row r="188" customFormat="false" ht="45" hidden="false" customHeight="true" outlineLevel="0" collapsed="false">
      <c r="A188" s="20" t="s">
        <v>221</v>
      </c>
      <c r="B188" s="22" t="s">
        <v>85</v>
      </c>
      <c r="C188" s="8" t="s">
        <v>222</v>
      </c>
      <c r="D188" s="22" t="s">
        <v>1612</v>
      </c>
      <c r="E188" s="22" t="s">
        <v>1613</v>
      </c>
      <c r="F188" s="22" t="s">
        <v>1293</v>
      </c>
      <c r="G188" s="22" t="s">
        <v>223</v>
      </c>
      <c r="H188" s="22" t="s">
        <v>1614</v>
      </c>
      <c r="I188" s="47" t="s">
        <v>1615</v>
      </c>
      <c r="J188" s="48" t="s">
        <v>1616</v>
      </c>
      <c r="K188" s="20" t="s">
        <v>13</v>
      </c>
      <c r="L188" s="49" t="s">
        <v>5</v>
      </c>
      <c r="M188" s="20" t="s">
        <v>1573</v>
      </c>
      <c r="N188" s="20" t="s">
        <v>646</v>
      </c>
      <c r="O188" s="20" t="n">
        <v>5</v>
      </c>
      <c r="P188" s="45" t="s">
        <v>101</v>
      </c>
      <c r="Q188" s="46"/>
    </row>
    <row r="189" customFormat="false" ht="45" hidden="false" customHeight="true" outlineLevel="0" collapsed="false">
      <c r="A189" s="19" t="s">
        <v>225</v>
      </c>
      <c r="B189" s="21" t="s">
        <v>85</v>
      </c>
      <c r="C189" s="5" t="s">
        <v>226</v>
      </c>
      <c r="D189" s="21" t="s">
        <v>1617</v>
      </c>
      <c r="E189" s="21" t="s">
        <v>1613</v>
      </c>
      <c r="F189" s="21" t="s">
        <v>1013</v>
      </c>
      <c r="G189" s="21" t="s">
        <v>227</v>
      </c>
      <c r="H189" s="21" t="s">
        <v>1618</v>
      </c>
      <c r="I189" s="42" t="s">
        <v>1619</v>
      </c>
      <c r="J189" s="43" t="s">
        <v>1620</v>
      </c>
      <c r="K189" s="19" t="s">
        <v>13</v>
      </c>
      <c r="L189" s="44" t="s">
        <v>5</v>
      </c>
      <c r="M189" s="19" t="s">
        <v>916</v>
      </c>
      <c r="N189" s="19" t="s">
        <v>646</v>
      </c>
      <c r="O189" s="19" t="n">
        <v>2</v>
      </c>
      <c r="P189" s="45" t="s">
        <v>101</v>
      </c>
      <c r="Q189" s="46"/>
    </row>
    <row r="190" customFormat="false" ht="45" hidden="false" customHeight="true" outlineLevel="0" collapsed="false">
      <c r="A190" s="20" t="s">
        <v>228</v>
      </c>
      <c r="B190" s="22" t="s">
        <v>85</v>
      </c>
      <c r="C190" s="8" t="s">
        <v>229</v>
      </c>
      <c r="D190" s="22" t="s">
        <v>1621</v>
      </c>
      <c r="E190" s="22" t="s">
        <v>1622</v>
      </c>
      <c r="F190" s="22" t="s">
        <v>1013</v>
      </c>
      <c r="G190" s="22" t="s">
        <v>227</v>
      </c>
      <c r="H190" s="22" t="s">
        <v>1623</v>
      </c>
      <c r="I190" s="47" t="s">
        <v>783</v>
      </c>
      <c r="J190" s="48" t="s">
        <v>1624</v>
      </c>
      <c r="K190" s="20" t="s">
        <v>13</v>
      </c>
      <c r="L190" s="49" t="s">
        <v>5</v>
      </c>
      <c r="M190" s="20" t="s">
        <v>888</v>
      </c>
      <c r="N190" s="20" t="s">
        <v>646</v>
      </c>
      <c r="O190" s="20" t="n">
        <v>2</v>
      </c>
      <c r="P190" s="45" t="s">
        <v>101</v>
      </c>
      <c r="Q190" s="46"/>
    </row>
    <row r="191" customFormat="false" ht="45" hidden="false" customHeight="true" outlineLevel="0" collapsed="false">
      <c r="A191" s="19" t="s">
        <v>230</v>
      </c>
      <c r="B191" s="21" t="s">
        <v>85</v>
      </c>
      <c r="C191" s="5" t="s">
        <v>231</v>
      </c>
      <c r="D191" s="21" t="s">
        <v>1625</v>
      </c>
      <c r="E191" s="21" t="s">
        <v>1613</v>
      </c>
      <c r="F191" s="21" t="s">
        <v>1293</v>
      </c>
      <c r="G191" s="21" t="s">
        <v>232</v>
      </c>
      <c r="H191" s="21" t="s">
        <v>1626</v>
      </c>
      <c r="I191" s="42" t="s">
        <v>1627</v>
      </c>
      <c r="J191" s="43" t="s">
        <v>1628</v>
      </c>
      <c r="K191" s="19" t="s">
        <v>13</v>
      </c>
      <c r="L191" s="44" t="s">
        <v>5</v>
      </c>
      <c r="M191" s="19" t="s">
        <v>689</v>
      </c>
      <c r="N191" s="19" t="s">
        <v>646</v>
      </c>
      <c r="O191" s="19" t="n">
        <v>3</v>
      </c>
      <c r="P191" s="45" t="s">
        <v>101</v>
      </c>
      <c r="Q191" s="46"/>
    </row>
    <row r="192" customFormat="false" ht="45" hidden="false" customHeight="true" outlineLevel="0" collapsed="false">
      <c r="A192" s="20" t="s">
        <v>233</v>
      </c>
      <c r="B192" s="22" t="s">
        <v>85</v>
      </c>
      <c r="C192" s="8" t="s">
        <v>234</v>
      </c>
      <c r="D192" s="22" t="s">
        <v>1629</v>
      </c>
      <c r="E192" s="22" t="s">
        <v>1622</v>
      </c>
      <c r="F192" s="22" t="s">
        <v>1293</v>
      </c>
      <c r="G192" s="22" t="s">
        <v>235</v>
      </c>
      <c r="H192" s="22" t="s">
        <v>1630</v>
      </c>
      <c r="I192" s="47" t="s">
        <v>1631</v>
      </c>
      <c r="J192" s="48" t="s">
        <v>1632</v>
      </c>
      <c r="K192" s="20" t="s">
        <v>13</v>
      </c>
      <c r="L192" s="49" t="s">
        <v>5</v>
      </c>
      <c r="M192" s="20" t="s">
        <v>670</v>
      </c>
      <c r="N192" s="20" t="s">
        <v>646</v>
      </c>
      <c r="O192" s="20" t="n">
        <v>2</v>
      </c>
      <c r="P192" s="45" t="s">
        <v>101</v>
      </c>
      <c r="Q192" s="46"/>
    </row>
    <row r="193" customFormat="false" ht="45" hidden="false" customHeight="true" outlineLevel="0" collapsed="false">
      <c r="A193" s="19" t="s">
        <v>1633</v>
      </c>
      <c r="B193" s="21" t="s">
        <v>85</v>
      </c>
      <c r="C193" s="5" t="s">
        <v>1634</v>
      </c>
      <c r="D193" s="21" t="s">
        <v>1635</v>
      </c>
      <c r="E193" s="21" t="s">
        <v>1636</v>
      </c>
      <c r="F193" s="21" t="s">
        <v>1293</v>
      </c>
      <c r="G193" s="21" t="s">
        <v>1637</v>
      </c>
      <c r="H193" s="21" t="s">
        <v>1638</v>
      </c>
      <c r="I193" s="42" t="s">
        <v>1639</v>
      </c>
      <c r="J193" s="43" t="s">
        <v>1640</v>
      </c>
      <c r="K193" s="19" t="s">
        <v>15</v>
      </c>
      <c r="L193" s="44" t="s">
        <v>5</v>
      </c>
      <c r="M193" s="19" t="s">
        <v>1355</v>
      </c>
      <c r="N193" s="19" t="s">
        <v>646</v>
      </c>
      <c r="O193" s="19" t="n">
        <v>3</v>
      </c>
      <c r="P193" s="45" t="s">
        <v>101</v>
      </c>
      <c r="Q193" s="46"/>
    </row>
    <row r="194" customFormat="false" ht="45" hidden="false" customHeight="true" outlineLevel="0" collapsed="false">
      <c r="A194" s="20" t="s">
        <v>1641</v>
      </c>
      <c r="B194" s="22" t="s">
        <v>85</v>
      </c>
      <c r="C194" s="8" t="s">
        <v>1642</v>
      </c>
      <c r="D194" s="22" t="s">
        <v>1643</v>
      </c>
      <c r="E194" s="22" t="s">
        <v>1622</v>
      </c>
      <c r="F194" s="22" t="s">
        <v>1013</v>
      </c>
      <c r="G194" s="22" t="s">
        <v>227</v>
      </c>
      <c r="H194" s="22" t="s">
        <v>1544</v>
      </c>
      <c r="I194" s="47" t="s">
        <v>1644</v>
      </c>
      <c r="J194" s="48" t="s">
        <v>1645</v>
      </c>
      <c r="K194" s="20" t="s">
        <v>15</v>
      </c>
      <c r="L194" s="49" t="s">
        <v>5</v>
      </c>
      <c r="M194" s="20" t="s">
        <v>895</v>
      </c>
      <c r="N194" s="20" t="s">
        <v>646</v>
      </c>
      <c r="O194" s="20" t="n">
        <v>2</v>
      </c>
      <c r="P194" s="45" t="s">
        <v>101</v>
      </c>
      <c r="Q194" s="46"/>
    </row>
    <row r="195" customFormat="false" ht="45" hidden="false" customHeight="true" outlineLevel="0" collapsed="false">
      <c r="A195" s="19" t="s">
        <v>1646</v>
      </c>
      <c r="B195" s="21" t="s">
        <v>85</v>
      </c>
      <c r="C195" s="5" t="s">
        <v>1647</v>
      </c>
      <c r="D195" s="21" t="s">
        <v>1648</v>
      </c>
      <c r="E195" s="21" t="s">
        <v>1613</v>
      </c>
      <c r="F195" s="21" t="s">
        <v>1013</v>
      </c>
      <c r="G195" s="21" t="s">
        <v>247</v>
      </c>
      <c r="H195" s="21" t="s">
        <v>1649</v>
      </c>
      <c r="I195" s="42" t="s">
        <v>1650</v>
      </c>
      <c r="J195" s="43" t="s">
        <v>1651</v>
      </c>
      <c r="K195" s="19" t="s">
        <v>15</v>
      </c>
      <c r="L195" s="44" t="s">
        <v>5</v>
      </c>
      <c r="M195" s="19" t="s">
        <v>1388</v>
      </c>
      <c r="N195" s="19" t="s">
        <v>646</v>
      </c>
      <c r="O195" s="19" t="n">
        <v>2</v>
      </c>
      <c r="P195" s="45" t="s">
        <v>101</v>
      </c>
      <c r="Q195" s="46"/>
    </row>
    <row r="196" customFormat="false" ht="45" hidden="false" customHeight="true" outlineLevel="0" collapsed="false">
      <c r="A196" s="20" t="s">
        <v>236</v>
      </c>
      <c r="B196" s="22" t="s">
        <v>85</v>
      </c>
      <c r="C196" s="8" t="s">
        <v>237</v>
      </c>
      <c r="D196" s="22" t="s">
        <v>1652</v>
      </c>
      <c r="E196" s="22" t="s">
        <v>1622</v>
      </c>
      <c r="F196" s="22" t="s">
        <v>1293</v>
      </c>
      <c r="G196" s="22" t="s">
        <v>238</v>
      </c>
      <c r="H196" s="22" t="s">
        <v>1294</v>
      </c>
      <c r="I196" s="47" t="s">
        <v>1653</v>
      </c>
      <c r="J196" s="48" t="s">
        <v>1654</v>
      </c>
      <c r="K196" s="20" t="s">
        <v>13</v>
      </c>
      <c r="L196" s="49" t="s">
        <v>5</v>
      </c>
      <c r="M196" s="20" t="s">
        <v>888</v>
      </c>
      <c r="N196" s="20" t="s">
        <v>646</v>
      </c>
      <c r="O196" s="20" t="n">
        <v>2</v>
      </c>
      <c r="P196" s="45" t="s">
        <v>101</v>
      </c>
      <c r="Q196" s="46"/>
    </row>
    <row r="197" customFormat="false" ht="45" hidden="false" customHeight="true" outlineLevel="0" collapsed="false">
      <c r="A197" s="19" t="s">
        <v>1655</v>
      </c>
      <c r="B197" s="21" t="s">
        <v>85</v>
      </c>
      <c r="C197" s="5" t="s">
        <v>1656</v>
      </c>
      <c r="D197" s="21" t="s">
        <v>1657</v>
      </c>
      <c r="E197" s="21" t="s">
        <v>957</v>
      </c>
      <c r="F197" s="21" t="s">
        <v>1609</v>
      </c>
      <c r="G197" s="21" t="s">
        <v>1658</v>
      </c>
      <c r="H197" s="21" t="s">
        <v>1659</v>
      </c>
      <c r="I197" s="42" t="s">
        <v>1660</v>
      </c>
      <c r="J197" s="43" t="s">
        <v>1661</v>
      </c>
      <c r="K197" s="19" t="s">
        <v>15</v>
      </c>
      <c r="L197" s="44" t="s">
        <v>5</v>
      </c>
      <c r="M197" s="19" t="s">
        <v>1446</v>
      </c>
      <c r="N197" s="19" t="s">
        <v>646</v>
      </c>
      <c r="O197" s="19" t="n">
        <v>2</v>
      </c>
      <c r="P197" s="45" t="s">
        <v>101</v>
      </c>
      <c r="Q197" s="46"/>
    </row>
    <row r="198" customFormat="false" ht="45" hidden="false" customHeight="true" outlineLevel="0" collapsed="false">
      <c r="A198" s="20" t="s">
        <v>1662</v>
      </c>
      <c r="B198" s="22" t="s">
        <v>85</v>
      </c>
      <c r="C198" s="8" t="s">
        <v>1663</v>
      </c>
      <c r="D198" s="22" t="s">
        <v>1664</v>
      </c>
      <c r="E198" s="22" t="s">
        <v>1665</v>
      </c>
      <c r="F198" s="22" t="s">
        <v>1013</v>
      </c>
      <c r="G198" s="22" t="s">
        <v>193</v>
      </c>
      <c r="H198" s="22" t="s">
        <v>1666</v>
      </c>
      <c r="I198" s="47" t="s">
        <v>1667</v>
      </c>
      <c r="J198" s="48" t="s">
        <v>1668</v>
      </c>
      <c r="K198" s="20" t="s">
        <v>19</v>
      </c>
      <c r="L198" s="49" t="s">
        <v>5</v>
      </c>
      <c r="M198" s="20" t="s">
        <v>986</v>
      </c>
      <c r="N198" s="20" t="s">
        <v>646</v>
      </c>
      <c r="O198" s="20" t="n">
        <v>2</v>
      </c>
      <c r="P198" s="45" t="s">
        <v>101</v>
      </c>
      <c r="Q198" s="46"/>
    </row>
    <row r="199" customFormat="false" ht="45" hidden="false" customHeight="true" outlineLevel="0" collapsed="false">
      <c r="A199" s="19" t="s">
        <v>239</v>
      </c>
      <c r="B199" s="21" t="s">
        <v>87</v>
      </c>
      <c r="C199" s="5" t="s">
        <v>240</v>
      </c>
      <c r="D199" s="21" t="s">
        <v>1669</v>
      </c>
      <c r="E199" s="21" t="s">
        <v>1670</v>
      </c>
      <c r="F199" s="21" t="s">
        <v>1013</v>
      </c>
      <c r="G199" s="21" t="s">
        <v>241</v>
      </c>
      <c r="H199" s="21" t="s">
        <v>1671</v>
      </c>
      <c r="I199" s="42" t="s">
        <v>1672</v>
      </c>
      <c r="J199" s="43" t="s">
        <v>1673</v>
      </c>
      <c r="K199" s="19" t="s">
        <v>13</v>
      </c>
      <c r="L199" s="44" t="s">
        <v>5</v>
      </c>
      <c r="M199" s="19" t="s">
        <v>916</v>
      </c>
      <c r="N199" s="19" t="s">
        <v>646</v>
      </c>
      <c r="O199" s="19" t="n">
        <v>8</v>
      </c>
      <c r="P199" s="45" t="s">
        <v>101</v>
      </c>
      <c r="Q199" s="46"/>
    </row>
    <row r="200" customFormat="false" ht="45" hidden="false" customHeight="true" outlineLevel="0" collapsed="false">
      <c r="A200" s="20" t="s">
        <v>243</v>
      </c>
      <c r="B200" s="22" t="s">
        <v>87</v>
      </c>
      <c r="C200" s="8" t="s">
        <v>244</v>
      </c>
      <c r="D200" s="22" t="s">
        <v>1674</v>
      </c>
      <c r="E200" s="22" t="s">
        <v>1675</v>
      </c>
      <c r="F200" s="22" t="s">
        <v>1013</v>
      </c>
      <c r="G200" s="22" t="s">
        <v>193</v>
      </c>
      <c r="H200" s="22" t="s">
        <v>1649</v>
      </c>
      <c r="I200" s="47" t="s">
        <v>1676</v>
      </c>
      <c r="J200" s="48" t="s">
        <v>1677</v>
      </c>
      <c r="K200" s="20" t="s">
        <v>13</v>
      </c>
      <c r="L200" s="49" t="s">
        <v>5</v>
      </c>
      <c r="M200" s="20" t="s">
        <v>729</v>
      </c>
      <c r="N200" s="20" t="s">
        <v>646</v>
      </c>
      <c r="O200" s="20" t="n">
        <v>2</v>
      </c>
      <c r="P200" s="45" t="s">
        <v>101</v>
      </c>
      <c r="Q200" s="46"/>
    </row>
    <row r="201" customFormat="false" ht="45" hidden="false" customHeight="true" outlineLevel="0" collapsed="false">
      <c r="A201" s="19" t="s">
        <v>1678</v>
      </c>
      <c r="B201" s="21" t="s">
        <v>87</v>
      </c>
      <c r="C201" s="5" t="s">
        <v>1679</v>
      </c>
      <c r="D201" s="21" t="s">
        <v>1680</v>
      </c>
      <c r="E201" s="21" t="s">
        <v>1681</v>
      </c>
      <c r="F201" s="21" t="s">
        <v>1013</v>
      </c>
      <c r="G201" s="21" t="s">
        <v>247</v>
      </c>
      <c r="H201" s="21" t="s">
        <v>1682</v>
      </c>
      <c r="I201" s="42" t="s">
        <v>1683</v>
      </c>
      <c r="J201" s="43" t="s">
        <v>1684</v>
      </c>
      <c r="K201" s="19" t="s">
        <v>15</v>
      </c>
      <c r="L201" s="44" t="s">
        <v>5</v>
      </c>
      <c r="M201" s="19" t="s">
        <v>1685</v>
      </c>
      <c r="N201" s="19" t="s">
        <v>646</v>
      </c>
      <c r="O201" s="19" t="n">
        <v>3</v>
      </c>
      <c r="P201" s="45" t="s">
        <v>101</v>
      </c>
      <c r="Q201" s="46"/>
    </row>
    <row r="202" customFormat="false" ht="45" hidden="false" customHeight="true" outlineLevel="0" collapsed="false">
      <c r="A202" s="20" t="s">
        <v>245</v>
      </c>
      <c r="B202" s="22" t="s">
        <v>87</v>
      </c>
      <c r="C202" s="8" t="s">
        <v>246</v>
      </c>
      <c r="D202" s="22" t="s">
        <v>1686</v>
      </c>
      <c r="E202" s="22" t="s">
        <v>490</v>
      </c>
      <c r="F202" s="22" t="s">
        <v>1013</v>
      </c>
      <c r="G202" s="22" t="s">
        <v>247</v>
      </c>
      <c r="H202" s="22" t="s">
        <v>1687</v>
      </c>
      <c r="I202" s="47" t="s">
        <v>1688</v>
      </c>
      <c r="J202" s="48" t="s">
        <v>1689</v>
      </c>
      <c r="K202" s="20" t="s">
        <v>13</v>
      </c>
      <c r="L202" s="49" t="s">
        <v>5</v>
      </c>
      <c r="M202" s="20" t="s">
        <v>1690</v>
      </c>
      <c r="N202" s="20" t="s">
        <v>671</v>
      </c>
      <c r="O202" s="20" t="n">
        <v>4</v>
      </c>
      <c r="P202" s="45" t="s">
        <v>101</v>
      </c>
      <c r="Q202" s="46"/>
    </row>
    <row r="203" customFormat="false" ht="45" hidden="false" customHeight="true" outlineLevel="0" collapsed="false">
      <c r="A203" s="19" t="s">
        <v>1691</v>
      </c>
      <c r="B203" s="21" t="s">
        <v>87</v>
      </c>
      <c r="C203" s="5" t="s">
        <v>1692</v>
      </c>
      <c r="D203" s="21" t="s">
        <v>1693</v>
      </c>
      <c r="E203" s="21" t="s">
        <v>490</v>
      </c>
      <c r="F203" s="21" t="s">
        <v>1694</v>
      </c>
      <c r="G203" s="21" t="s">
        <v>1695</v>
      </c>
      <c r="H203" s="21" t="s">
        <v>1696</v>
      </c>
      <c r="I203" s="42" t="s">
        <v>1697</v>
      </c>
      <c r="J203" s="43" t="s">
        <v>1698</v>
      </c>
      <c r="K203" s="19" t="s">
        <v>17</v>
      </c>
      <c r="L203" s="44" t="s">
        <v>129</v>
      </c>
      <c r="M203" s="19" t="s">
        <v>1699</v>
      </c>
      <c r="N203" s="19" t="s">
        <v>646</v>
      </c>
      <c r="O203" s="19" t="n">
        <v>1</v>
      </c>
      <c r="P203" s="45" t="s">
        <v>101</v>
      </c>
      <c r="Q203" s="46"/>
    </row>
    <row r="204" customFormat="false" ht="45" hidden="false" customHeight="true" outlineLevel="0" collapsed="false">
      <c r="A204" s="20" t="s">
        <v>1700</v>
      </c>
      <c r="B204" s="22" t="s">
        <v>87</v>
      </c>
      <c r="C204" s="8" t="s">
        <v>1701</v>
      </c>
      <c r="D204" s="22" t="s">
        <v>1702</v>
      </c>
      <c r="E204" s="22" t="s">
        <v>1703</v>
      </c>
      <c r="F204" s="22" t="s">
        <v>1013</v>
      </c>
      <c r="G204" s="22" t="s">
        <v>145</v>
      </c>
      <c r="H204" s="22" t="s">
        <v>1704</v>
      </c>
      <c r="I204" s="47" t="s">
        <v>1705</v>
      </c>
      <c r="J204" s="48" t="s">
        <v>1706</v>
      </c>
      <c r="K204" s="20" t="s">
        <v>19</v>
      </c>
      <c r="L204" s="49" t="s">
        <v>129</v>
      </c>
      <c r="M204" s="20" t="s">
        <v>1707</v>
      </c>
      <c r="N204" s="20" t="s">
        <v>646</v>
      </c>
      <c r="O204" s="20" t="n">
        <v>8</v>
      </c>
      <c r="P204" s="45" t="s">
        <v>101</v>
      </c>
      <c r="Q204" s="46"/>
    </row>
    <row r="205" customFormat="false" ht="45" hidden="false" customHeight="true" outlineLevel="0" collapsed="false">
      <c r="A205" s="19" t="s">
        <v>1708</v>
      </c>
      <c r="B205" s="21" t="s">
        <v>89</v>
      </c>
      <c r="C205" s="5" t="s">
        <v>1709</v>
      </c>
      <c r="D205" s="21" t="s">
        <v>1710</v>
      </c>
      <c r="E205" s="21" t="s">
        <v>1482</v>
      </c>
      <c r="F205" s="21" t="s">
        <v>1564</v>
      </c>
      <c r="G205" s="21" t="s">
        <v>352</v>
      </c>
      <c r="H205" s="21" t="s">
        <v>642</v>
      </c>
      <c r="I205" s="42" t="s">
        <v>1711</v>
      </c>
      <c r="J205" s="43" t="s">
        <v>1712</v>
      </c>
      <c r="K205" s="19" t="s">
        <v>15</v>
      </c>
      <c r="L205" s="44" t="s">
        <v>5</v>
      </c>
      <c r="M205" s="19" t="s">
        <v>677</v>
      </c>
      <c r="N205" s="19" t="s">
        <v>646</v>
      </c>
      <c r="O205" s="19" t="n">
        <v>4</v>
      </c>
      <c r="P205" s="45" t="s">
        <v>101</v>
      </c>
      <c r="Q205" s="46"/>
    </row>
    <row r="206" customFormat="false" ht="45" hidden="false" customHeight="true" outlineLevel="0" collapsed="false">
      <c r="A206" s="20" t="s">
        <v>1713</v>
      </c>
      <c r="B206" s="22" t="s">
        <v>89</v>
      </c>
      <c r="C206" s="8" t="s">
        <v>1714</v>
      </c>
      <c r="D206" s="22" t="s">
        <v>1715</v>
      </c>
      <c r="E206" s="22" t="s">
        <v>1482</v>
      </c>
      <c r="F206" s="22" t="s">
        <v>1564</v>
      </c>
      <c r="G206" s="22" t="s">
        <v>352</v>
      </c>
      <c r="H206" s="22" t="s">
        <v>642</v>
      </c>
      <c r="I206" s="47" t="s">
        <v>783</v>
      </c>
      <c r="J206" s="48" t="s">
        <v>1716</v>
      </c>
      <c r="K206" s="20" t="s">
        <v>15</v>
      </c>
      <c r="L206" s="49" t="s">
        <v>5</v>
      </c>
      <c r="M206" s="20" t="s">
        <v>677</v>
      </c>
      <c r="N206" s="20" t="s">
        <v>646</v>
      </c>
      <c r="O206" s="20" t="n">
        <v>4</v>
      </c>
      <c r="P206" s="45" t="s">
        <v>101</v>
      </c>
      <c r="Q206" s="46"/>
    </row>
    <row r="207" customFormat="false" ht="45" hidden="false" customHeight="true" outlineLevel="0" collapsed="false">
      <c r="A207" s="19" t="s">
        <v>1717</v>
      </c>
      <c r="B207" s="21" t="s">
        <v>89</v>
      </c>
      <c r="C207" s="5" t="s">
        <v>1718</v>
      </c>
      <c r="D207" s="21" t="s">
        <v>1719</v>
      </c>
      <c r="E207" s="21" t="s">
        <v>1482</v>
      </c>
      <c r="F207" s="21" t="s">
        <v>1564</v>
      </c>
      <c r="G207" s="21" t="s">
        <v>352</v>
      </c>
      <c r="H207" s="21" t="s">
        <v>642</v>
      </c>
      <c r="I207" s="42" t="s">
        <v>783</v>
      </c>
      <c r="J207" s="43" t="s">
        <v>1720</v>
      </c>
      <c r="K207" s="19" t="s">
        <v>15</v>
      </c>
      <c r="L207" s="44" t="s">
        <v>5</v>
      </c>
      <c r="M207" s="19" t="s">
        <v>677</v>
      </c>
      <c r="N207" s="19" t="s">
        <v>646</v>
      </c>
      <c r="O207" s="19" t="n">
        <v>4</v>
      </c>
      <c r="P207" s="45" t="s">
        <v>101</v>
      </c>
      <c r="Q207" s="46"/>
    </row>
    <row r="208" customFormat="false" ht="45" hidden="false" customHeight="true" outlineLevel="0" collapsed="false">
      <c r="A208" s="20" t="s">
        <v>1721</v>
      </c>
      <c r="B208" s="22" t="s">
        <v>89</v>
      </c>
      <c r="C208" s="8" t="s">
        <v>1722</v>
      </c>
      <c r="D208" s="22" t="s">
        <v>1723</v>
      </c>
      <c r="E208" s="22" t="s">
        <v>1482</v>
      </c>
      <c r="F208" s="22" t="s">
        <v>1564</v>
      </c>
      <c r="G208" s="22" t="s">
        <v>352</v>
      </c>
      <c r="H208" s="22" t="s">
        <v>642</v>
      </c>
      <c r="I208" s="47" t="s">
        <v>783</v>
      </c>
      <c r="J208" s="48" t="s">
        <v>1724</v>
      </c>
      <c r="K208" s="20" t="s">
        <v>15</v>
      </c>
      <c r="L208" s="49" t="s">
        <v>5</v>
      </c>
      <c r="M208" s="20" t="s">
        <v>677</v>
      </c>
      <c r="N208" s="20" t="s">
        <v>646</v>
      </c>
      <c r="O208" s="20" t="n">
        <v>4</v>
      </c>
      <c r="P208" s="45" t="s">
        <v>101</v>
      </c>
      <c r="Q208" s="46"/>
    </row>
    <row r="209" customFormat="false" ht="45" hidden="false" customHeight="true" outlineLevel="0" collapsed="false">
      <c r="A209" s="19" t="s">
        <v>1725</v>
      </c>
      <c r="B209" s="21" t="s">
        <v>89</v>
      </c>
      <c r="C209" s="5" t="s">
        <v>1726</v>
      </c>
      <c r="D209" s="21" t="s">
        <v>1727</v>
      </c>
      <c r="E209" s="21" t="s">
        <v>1482</v>
      </c>
      <c r="F209" s="21" t="s">
        <v>1564</v>
      </c>
      <c r="G209" s="21" t="s">
        <v>352</v>
      </c>
      <c r="H209" s="21" t="s">
        <v>642</v>
      </c>
      <c r="I209" s="42" t="s">
        <v>783</v>
      </c>
      <c r="J209" s="43" t="s">
        <v>1728</v>
      </c>
      <c r="K209" s="19" t="s">
        <v>15</v>
      </c>
      <c r="L209" s="44" t="s">
        <v>5</v>
      </c>
      <c r="M209" s="19" t="s">
        <v>706</v>
      </c>
      <c r="N209" s="19" t="s">
        <v>646</v>
      </c>
      <c r="O209" s="19" t="n">
        <v>4</v>
      </c>
      <c r="P209" s="45" t="s">
        <v>101</v>
      </c>
      <c r="Q209" s="46"/>
    </row>
    <row r="210" customFormat="false" ht="45" hidden="false" customHeight="true" outlineLevel="0" collapsed="false">
      <c r="A210" s="20" t="s">
        <v>1729</v>
      </c>
      <c r="B210" s="22" t="s">
        <v>89</v>
      </c>
      <c r="C210" s="8" t="s">
        <v>1730</v>
      </c>
      <c r="D210" s="22" t="s">
        <v>1731</v>
      </c>
      <c r="E210" s="22" t="s">
        <v>1482</v>
      </c>
      <c r="F210" s="22" t="s">
        <v>1564</v>
      </c>
      <c r="G210" s="22" t="s">
        <v>352</v>
      </c>
      <c r="H210" s="22" t="s">
        <v>642</v>
      </c>
      <c r="I210" s="47" t="s">
        <v>783</v>
      </c>
      <c r="J210" s="48" t="s">
        <v>1732</v>
      </c>
      <c r="K210" s="20" t="s">
        <v>15</v>
      </c>
      <c r="L210" s="49" t="s">
        <v>5</v>
      </c>
      <c r="M210" s="20" t="s">
        <v>677</v>
      </c>
      <c r="N210" s="20" t="s">
        <v>646</v>
      </c>
      <c r="O210" s="20" t="n">
        <v>4</v>
      </c>
      <c r="P210" s="45" t="s">
        <v>101</v>
      </c>
      <c r="Q210" s="46"/>
    </row>
    <row r="211" customFormat="false" ht="45" hidden="false" customHeight="true" outlineLevel="0" collapsed="false">
      <c r="A211" s="19" t="s">
        <v>1733</v>
      </c>
      <c r="B211" s="21" t="s">
        <v>89</v>
      </c>
      <c r="C211" s="5" t="s">
        <v>1734</v>
      </c>
      <c r="D211" s="21" t="s">
        <v>1735</v>
      </c>
      <c r="E211" s="21" t="s">
        <v>1482</v>
      </c>
      <c r="F211" s="21" t="s">
        <v>1564</v>
      </c>
      <c r="G211" s="21" t="s">
        <v>352</v>
      </c>
      <c r="H211" s="21" t="s">
        <v>642</v>
      </c>
      <c r="I211" s="42" t="s">
        <v>783</v>
      </c>
      <c r="J211" s="43" t="s">
        <v>1736</v>
      </c>
      <c r="K211" s="19" t="s">
        <v>15</v>
      </c>
      <c r="L211" s="44" t="s">
        <v>5</v>
      </c>
      <c r="M211" s="19" t="s">
        <v>677</v>
      </c>
      <c r="N211" s="19" t="s">
        <v>646</v>
      </c>
      <c r="O211" s="19" t="n">
        <v>4</v>
      </c>
      <c r="P211" s="45" t="s">
        <v>101</v>
      </c>
      <c r="Q211" s="46"/>
    </row>
    <row r="212" customFormat="false" ht="45" hidden="false" customHeight="true" outlineLevel="0" collapsed="false">
      <c r="A212" s="20" t="s">
        <v>1737</v>
      </c>
      <c r="B212" s="22" t="s">
        <v>89</v>
      </c>
      <c r="C212" s="8" t="s">
        <v>1738</v>
      </c>
      <c r="D212" s="22" t="s">
        <v>1739</v>
      </c>
      <c r="E212" s="22" t="s">
        <v>1482</v>
      </c>
      <c r="F212" s="22" t="s">
        <v>1564</v>
      </c>
      <c r="G212" s="22" t="s">
        <v>352</v>
      </c>
      <c r="H212" s="22" t="s">
        <v>1740</v>
      </c>
      <c r="I212" s="47" t="s">
        <v>1741</v>
      </c>
      <c r="J212" s="48" t="s">
        <v>1742</v>
      </c>
      <c r="K212" s="20" t="s">
        <v>15</v>
      </c>
      <c r="L212" s="49" t="s">
        <v>5</v>
      </c>
      <c r="M212" s="20" t="s">
        <v>815</v>
      </c>
      <c r="N212" s="20" t="s">
        <v>646</v>
      </c>
      <c r="O212" s="20" t="n">
        <v>5</v>
      </c>
      <c r="P212" s="45" t="s">
        <v>101</v>
      </c>
      <c r="Q212" s="46"/>
    </row>
    <row r="213" customFormat="false" ht="45" hidden="false" customHeight="true" outlineLevel="0" collapsed="false">
      <c r="A213" s="19" t="s">
        <v>1743</v>
      </c>
      <c r="B213" s="21" t="s">
        <v>89</v>
      </c>
      <c r="C213" s="5" t="s">
        <v>1744</v>
      </c>
      <c r="D213" s="21" t="s">
        <v>1745</v>
      </c>
      <c r="E213" s="21" t="s">
        <v>1482</v>
      </c>
      <c r="F213" s="21" t="s">
        <v>1564</v>
      </c>
      <c r="G213" s="21" t="s">
        <v>352</v>
      </c>
      <c r="H213" s="21" t="s">
        <v>642</v>
      </c>
      <c r="I213" s="42"/>
      <c r="J213" s="43" t="s">
        <v>1746</v>
      </c>
      <c r="K213" s="19" t="s">
        <v>15</v>
      </c>
      <c r="L213" s="44" t="s">
        <v>5</v>
      </c>
      <c r="M213" s="19" t="s">
        <v>895</v>
      </c>
      <c r="N213" s="19" t="s">
        <v>646</v>
      </c>
      <c r="O213" s="19" t="n">
        <v>4</v>
      </c>
      <c r="P213" s="45" t="s">
        <v>101</v>
      </c>
      <c r="Q213" s="46"/>
    </row>
    <row r="214" customFormat="false" ht="45" hidden="false" customHeight="true" outlineLevel="0" collapsed="false">
      <c r="A214" s="20" t="s">
        <v>1747</v>
      </c>
      <c r="B214" s="22" t="s">
        <v>89</v>
      </c>
      <c r="C214" s="8" t="s">
        <v>1748</v>
      </c>
      <c r="D214" s="22" t="s">
        <v>1749</v>
      </c>
      <c r="E214" s="22" t="s">
        <v>1482</v>
      </c>
      <c r="F214" s="22" t="s">
        <v>1564</v>
      </c>
      <c r="G214" s="22" t="s">
        <v>352</v>
      </c>
      <c r="H214" s="22" t="s">
        <v>642</v>
      </c>
      <c r="I214" s="47" t="s">
        <v>1750</v>
      </c>
      <c r="J214" s="48" t="s">
        <v>1751</v>
      </c>
      <c r="K214" s="20" t="s">
        <v>15</v>
      </c>
      <c r="L214" s="49" t="s">
        <v>5</v>
      </c>
      <c r="M214" s="20" t="s">
        <v>706</v>
      </c>
      <c r="N214" s="20" t="s">
        <v>646</v>
      </c>
      <c r="O214" s="20" t="n">
        <v>4</v>
      </c>
      <c r="P214" s="45" t="s">
        <v>101</v>
      </c>
      <c r="Q214" s="46"/>
    </row>
    <row r="215" customFormat="false" ht="45" hidden="false" customHeight="true" outlineLevel="0" collapsed="false">
      <c r="A215" s="19" t="s">
        <v>350</v>
      </c>
      <c r="B215" s="21" t="s">
        <v>89</v>
      </c>
      <c r="C215" s="5" t="s">
        <v>351</v>
      </c>
      <c r="D215" s="21" t="s">
        <v>1752</v>
      </c>
      <c r="E215" s="21" t="s">
        <v>1482</v>
      </c>
      <c r="F215" s="21" t="s">
        <v>1564</v>
      </c>
      <c r="G215" s="21" t="s">
        <v>352</v>
      </c>
      <c r="H215" s="21" t="s">
        <v>642</v>
      </c>
      <c r="I215" s="42"/>
      <c r="J215" s="43" t="s">
        <v>1753</v>
      </c>
      <c r="K215" s="19" t="s">
        <v>13</v>
      </c>
      <c r="L215" s="44" t="s">
        <v>5</v>
      </c>
      <c r="M215" s="19" t="s">
        <v>1754</v>
      </c>
      <c r="N215" s="19" t="s">
        <v>646</v>
      </c>
      <c r="O215" s="19" t="n">
        <v>3</v>
      </c>
      <c r="P215" s="45" t="s">
        <v>101</v>
      </c>
      <c r="Q215" s="46"/>
    </row>
    <row r="216" customFormat="false" ht="45" hidden="false" customHeight="true" outlineLevel="0" collapsed="false">
      <c r="A216" s="20" t="s">
        <v>1755</v>
      </c>
      <c r="B216" s="22" t="s">
        <v>89</v>
      </c>
      <c r="C216" s="8" t="s">
        <v>1756</v>
      </c>
      <c r="D216" s="22" t="s">
        <v>1757</v>
      </c>
      <c r="E216" s="22" t="s">
        <v>1482</v>
      </c>
      <c r="F216" s="22" t="s">
        <v>1564</v>
      </c>
      <c r="G216" s="22" t="s">
        <v>352</v>
      </c>
      <c r="H216" s="22" t="s">
        <v>642</v>
      </c>
      <c r="I216" s="47" t="s">
        <v>1758</v>
      </c>
      <c r="J216" s="48" t="s">
        <v>1759</v>
      </c>
      <c r="K216" s="20" t="s">
        <v>15</v>
      </c>
      <c r="L216" s="49" t="s">
        <v>5</v>
      </c>
      <c r="M216" s="20" t="s">
        <v>1388</v>
      </c>
      <c r="N216" s="20" t="s">
        <v>646</v>
      </c>
      <c r="O216" s="20" t="n">
        <v>4</v>
      </c>
      <c r="P216" s="45" t="s">
        <v>101</v>
      </c>
      <c r="Q216" s="46"/>
    </row>
    <row r="217" customFormat="false" ht="45" hidden="false" customHeight="true" outlineLevel="0" collapsed="false">
      <c r="A217" s="19" t="s">
        <v>1760</v>
      </c>
      <c r="B217" s="21" t="s">
        <v>89</v>
      </c>
      <c r="C217" s="5" t="s">
        <v>1761</v>
      </c>
      <c r="D217" s="21" t="s">
        <v>1762</v>
      </c>
      <c r="E217" s="21" t="s">
        <v>1482</v>
      </c>
      <c r="F217" s="21" t="s">
        <v>1564</v>
      </c>
      <c r="G217" s="21" t="s">
        <v>352</v>
      </c>
      <c r="H217" s="21" t="s">
        <v>642</v>
      </c>
      <c r="I217" s="42" t="s">
        <v>1763</v>
      </c>
      <c r="J217" s="43" t="s">
        <v>1764</v>
      </c>
      <c r="K217" s="19" t="s">
        <v>15</v>
      </c>
      <c r="L217" s="44" t="s">
        <v>5</v>
      </c>
      <c r="M217" s="19" t="s">
        <v>1388</v>
      </c>
      <c r="N217" s="19" t="s">
        <v>646</v>
      </c>
      <c r="O217" s="19" t="n">
        <v>4</v>
      </c>
      <c r="P217" s="45" t="s">
        <v>101</v>
      </c>
      <c r="Q217" s="46"/>
    </row>
    <row r="218" customFormat="false" ht="45" hidden="false" customHeight="true" outlineLevel="0" collapsed="false">
      <c r="A218" s="20" t="s">
        <v>1765</v>
      </c>
      <c r="B218" s="22" t="s">
        <v>89</v>
      </c>
      <c r="C218" s="8" t="s">
        <v>1766</v>
      </c>
      <c r="D218" s="22" t="s">
        <v>1767</v>
      </c>
      <c r="E218" s="22" t="s">
        <v>1482</v>
      </c>
      <c r="F218" s="22" t="s">
        <v>1564</v>
      </c>
      <c r="G218" s="22" t="s">
        <v>352</v>
      </c>
      <c r="H218" s="22" t="s">
        <v>642</v>
      </c>
      <c r="I218" s="47" t="s">
        <v>1768</v>
      </c>
      <c r="J218" s="48" t="s">
        <v>1769</v>
      </c>
      <c r="K218" s="20" t="s">
        <v>15</v>
      </c>
      <c r="L218" s="49" t="s">
        <v>129</v>
      </c>
      <c r="M218" s="20" t="s">
        <v>1492</v>
      </c>
      <c r="N218" s="20" t="s">
        <v>646</v>
      </c>
      <c r="O218" s="20" t="n">
        <v>4</v>
      </c>
      <c r="P218" s="45" t="s">
        <v>101</v>
      </c>
      <c r="Q218" s="46"/>
    </row>
    <row r="219" customFormat="false" ht="45" hidden="false" customHeight="true" outlineLevel="0" collapsed="false">
      <c r="A219" s="19" t="s">
        <v>1770</v>
      </c>
      <c r="B219" s="21" t="s">
        <v>89</v>
      </c>
      <c r="C219" s="5" t="s">
        <v>1771</v>
      </c>
      <c r="D219" s="21" t="s">
        <v>1772</v>
      </c>
      <c r="E219" s="21" t="s">
        <v>1482</v>
      </c>
      <c r="F219" s="21" t="s">
        <v>1564</v>
      </c>
      <c r="G219" s="21" t="s">
        <v>352</v>
      </c>
      <c r="H219" s="21" t="s">
        <v>642</v>
      </c>
      <c r="I219" s="42" t="s">
        <v>1773</v>
      </c>
      <c r="J219" s="43" t="s">
        <v>1774</v>
      </c>
      <c r="K219" s="19" t="s">
        <v>15</v>
      </c>
      <c r="L219" s="44" t="s">
        <v>5</v>
      </c>
      <c r="M219" s="19" t="s">
        <v>1406</v>
      </c>
      <c r="N219" s="19" t="s">
        <v>646</v>
      </c>
      <c r="O219" s="19" t="n">
        <v>5</v>
      </c>
      <c r="P219" s="45" t="s">
        <v>101</v>
      </c>
      <c r="Q219" s="46"/>
    </row>
    <row r="220" customFormat="false" ht="45" hidden="false" customHeight="true" outlineLevel="0" collapsed="false">
      <c r="A220" s="20" t="s">
        <v>1775</v>
      </c>
      <c r="B220" s="22" t="s">
        <v>89</v>
      </c>
      <c r="C220" s="8" t="s">
        <v>1776</v>
      </c>
      <c r="D220" s="22" t="s">
        <v>1777</v>
      </c>
      <c r="E220" s="22" t="s">
        <v>1482</v>
      </c>
      <c r="F220" s="22" t="s">
        <v>1564</v>
      </c>
      <c r="G220" s="22" t="s">
        <v>352</v>
      </c>
      <c r="H220" s="22" t="s">
        <v>642</v>
      </c>
      <c r="I220" s="47" t="s">
        <v>1514</v>
      </c>
      <c r="J220" s="48" t="s">
        <v>1778</v>
      </c>
      <c r="K220" s="20" t="s">
        <v>15</v>
      </c>
      <c r="L220" s="49" t="s">
        <v>5</v>
      </c>
      <c r="M220" s="20" t="s">
        <v>1406</v>
      </c>
      <c r="N220" s="20" t="s">
        <v>646</v>
      </c>
      <c r="O220" s="20" t="n">
        <v>4</v>
      </c>
      <c r="P220" s="45" t="s">
        <v>101</v>
      </c>
      <c r="Q220" s="46"/>
    </row>
    <row r="221" customFormat="false" ht="45" hidden="false" customHeight="true" outlineLevel="0" collapsed="false">
      <c r="A221" s="19" t="s">
        <v>1779</v>
      </c>
      <c r="B221" s="21" t="s">
        <v>89</v>
      </c>
      <c r="C221" s="5" t="s">
        <v>1780</v>
      </c>
      <c r="D221" s="21" t="s">
        <v>1781</v>
      </c>
      <c r="E221" s="21" t="s">
        <v>1482</v>
      </c>
      <c r="F221" s="21" t="s">
        <v>1564</v>
      </c>
      <c r="G221" s="21" t="s">
        <v>352</v>
      </c>
      <c r="H221" s="21" t="s">
        <v>642</v>
      </c>
      <c r="I221" s="42" t="s">
        <v>1514</v>
      </c>
      <c r="J221" s="43" t="s">
        <v>1782</v>
      </c>
      <c r="K221" s="19" t="s">
        <v>15</v>
      </c>
      <c r="L221" s="44" t="s">
        <v>5</v>
      </c>
      <c r="M221" s="19" t="s">
        <v>1508</v>
      </c>
      <c r="N221" s="19" t="s">
        <v>646</v>
      </c>
      <c r="O221" s="19" t="n">
        <v>5</v>
      </c>
      <c r="P221" s="45" t="s">
        <v>101</v>
      </c>
      <c r="Q221" s="46"/>
    </row>
    <row r="222" customFormat="false" ht="45" hidden="false" customHeight="true" outlineLevel="0" collapsed="false">
      <c r="A222" s="20" t="s">
        <v>1783</v>
      </c>
      <c r="B222" s="22" t="s">
        <v>89</v>
      </c>
      <c r="C222" s="8" t="s">
        <v>1784</v>
      </c>
      <c r="D222" s="22" t="s">
        <v>1785</v>
      </c>
      <c r="E222" s="22" t="s">
        <v>1482</v>
      </c>
      <c r="F222" s="22" t="s">
        <v>1564</v>
      </c>
      <c r="G222" s="22" t="s">
        <v>352</v>
      </c>
      <c r="H222" s="22" t="s">
        <v>642</v>
      </c>
      <c r="I222" s="47"/>
      <c r="J222" s="48" t="s">
        <v>1786</v>
      </c>
      <c r="K222" s="20" t="s">
        <v>15</v>
      </c>
      <c r="L222" s="49" t="s">
        <v>5</v>
      </c>
      <c r="M222" s="20" t="s">
        <v>923</v>
      </c>
      <c r="N222" s="20" t="s">
        <v>646</v>
      </c>
      <c r="O222" s="20" t="n">
        <v>4</v>
      </c>
      <c r="P222" s="45" t="s">
        <v>101</v>
      </c>
      <c r="Q222" s="46"/>
    </row>
    <row r="223" customFormat="false" ht="45" hidden="false" customHeight="true" outlineLevel="0" collapsed="false">
      <c r="A223" s="19" t="s">
        <v>1787</v>
      </c>
      <c r="B223" s="21" t="s">
        <v>89</v>
      </c>
      <c r="C223" s="5" t="s">
        <v>1788</v>
      </c>
      <c r="D223" s="21" t="s">
        <v>1789</v>
      </c>
      <c r="E223" s="21" t="s">
        <v>1482</v>
      </c>
      <c r="F223" s="21" t="s">
        <v>1564</v>
      </c>
      <c r="G223" s="21" t="s">
        <v>352</v>
      </c>
      <c r="H223" s="21" t="s">
        <v>642</v>
      </c>
      <c r="I223" s="42"/>
      <c r="J223" s="43" t="s">
        <v>1790</v>
      </c>
      <c r="K223" s="19" t="s">
        <v>15</v>
      </c>
      <c r="L223" s="44" t="s">
        <v>5</v>
      </c>
      <c r="M223" s="19" t="s">
        <v>723</v>
      </c>
      <c r="N223" s="19" t="s">
        <v>646</v>
      </c>
      <c r="O223" s="19" t="n">
        <v>4</v>
      </c>
      <c r="P223" s="45" t="s">
        <v>101</v>
      </c>
      <c r="Q223" s="46"/>
    </row>
    <row r="224" customFormat="false" ht="45" hidden="false" customHeight="true" outlineLevel="0" collapsed="false">
      <c r="A224" s="20" t="s">
        <v>1791</v>
      </c>
      <c r="B224" s="22" t="s">
        <v>89</v>
      </c>
      <c r="C224" s="8" t="s">
        <v>1792</v>
      </c>
      <c r="D224" s="22" t="s">
        <v>1793</v>
      </c>
      <c r="E224" s="22" t="s">
        <v>1482</v>
      </c>
      <c r="F224" s="22" t="s">
        <v>1564</v>
      </c>
      <c r="G224" s="22" t="s">
        <v>352</v>
      </c>
      <c r="H224" s="22" t="s">
        <v>642</v>
      </c>
      <c r="I224" s="47"/>
      <c r="J224" s="48" t="s">
        <v>1794</v>
      </c>
      <c r="K224" s="20" t="s">
        <v>17</v>
      </c>
      <c r="L224" s="49" t="s">
        <v>5</v>
      </c>
      <c r="M224" s="20" t="s">
        <v>934</v>
      </c>
      <c r="N224" s="20" t="s">
        <v>646</v>
      </c>
      <c r="O224" s="20" t="n">
        <v>4</v>
      </c>
      <c r="P224" s="45" t="s">
        <v>101</v>
      </c>
      <c r="Q224" s="46"/>
    </row>
    <row r="225" customFormat="false" ht="45" hidden="false" customHeight="true" outlineLevel="0" collapsed="false">
      <c r="A225" s="19" t="s">
        <v>1795</v>
      </c>
      <c r="B225" s="21" t="s">
        <v>89</v>
      </c>
      <c r="C225" s="5" t="s">
        <v>1796</v>
      </c>
      <c r="D225" s="21" t="s">
        <v>1797</v>
      </c>
      <c r="E225" s="21" t="s">
        <v>1798</v>
      </c>
      <c r="F225" s="21" t="s">
        <v>1564</v>
      </c>
      <c r="G225" s="21" t="s">
        <v>352</v>
      </c>
      <c r="H225" s="21" t="s">
        <v>642</v>
      </c>
      <c r="I225" s="42" t="s">
        <v>1799</v>
      </c>
      <c r="J225" s="43" t="s">
        <v>1800</v>
      </c>
      <c r="K225" s="19" t="s">
        <v>17</v>
      </c>
      <c r="L225" s="44" t="s">
        <v>5</v>
      </c>
      <c r="M225" s="19" t="s">
        <v>1379</v>
      </c>
      <c r="N225" s="19" t="s">
        <v>646</v>
      </c>
      <c r="O225" s="19" t="n">
        <v>5</v>
      </c>
      <c r="P225" s="45" t="s">
        <v>101</v>
      </c>
      <c r="Q225" s="46"/>
    </row>
    <row r="226" customFormat="false" ht="45" hidden="false" customHeight="true" outlineLevel="0" collapsed="false">
      <c r="A226" s="20" t="s">
        <v>1801</v>
      </c>
      <c r="B226" s="22" t="s">
        <v>89</v>
      </c>
      <c r="C226" s="8" t="s">
        <v>1802</v>
      </c>
      <c r="D226" s="22" t="s">
        <v>1803</v>
      </c>
      <c r="E226" s="22" t="s">
        <v>1482</v>
      </c>
      <c r="F226" s="22" t="s">
        <v>1564</v>
      </c>
      <c r="G226" s="22" t="s">
        <v>352</v>
      </c>
      <c r="H226" s="22" t="s">
        <v>642</v>
      </c>
      <c r="I226" s="47"/>
      <c r="J226" s="48" t="s">
        <v>1804</v>
      </c>
      <c r="K226" s="20" t="s">
        <v>17</v>
      </c>
      <c r="L226" s="49" t="s">
        <v>5</v>
      </c>
      <c r="M226" s="20" t="s">
        <v>934</v>
      </c>
      <c r="N226" s="20" t="s">
        <v>646</v>
      </c>
      <c r="O226" s="20" t="n">
        <v>4</v>
      </c>
      <c r="P226" s="45" t="s">
        <v>101</v>
      </c>
      <c r="Q226" s="46"/>
    </row>
    <row r="227" customFormat="false" ht="45" hidden="false" customHeight="true" outlineLevel="0" collapsed="false">
      <c r="A227" s="19" t="s">
        <v>1805</v>
      </c>
      <c r="B227" s="21" t="s">
        <v>89</v>
      </c>
      <c r="C227" s="5" t="s">
        <v>1806</v>
      </c>
      <c r="D227" s="21" t="s">
        <v>1807</v>
      </c>
      <c r="E227" s="21" t="s">
        <v>1482</v>
      </c>
      <c r="F227" s="21" t="s">
        <v>1564</v>
      </c>
      <c r="G227" s="21" t="s">
        <v>352</v>
      </c>
      <c r="H227" s="21" t="s">
        <v>642</v>
      </c>
      <c r="I227" s="42" t="s">
        <v>1808</v>
      </c>
      <c r="J227" s="43" t="s">
        <v>1809</v>
      </c>
      <c r="K227" s="19" t="s">
        <v>17</v>
      </c>
      <c r="L227" s="44" t="s">
        <v>717</v>
      </c>
      <c r="M227" s="19" t="s">
        <v>1486</v>
      </c>
      <c r="N227" s="19" t="s">
        <v>646</v>
      </c>
      <c r="O227" s="19" t="n">
        <v>4</v>
      </c>
      <c r="P227" s="45" t="s">
        <v>101</v>
      </c>
      <c r="Q227" s="46"/>
    </row>
    <row r="228" customFormat="false" ht="45" hidden="false" customHeight="true" outlineLevel="0" collapsed="false">
      <c r="A228" s="20" t="s">
        <v>1810</v>
      </c>
      <c r="B228" s="22" t="s">
        <v>89</v>
      </c>
      <c r="C228" s="8" t="s">
        <v>1811</v>
      </c>
      <c r="D228" s="22" t="s">
        <v>1812</v>
      </c>
      <c r="E228" s="22" t="s">
        <v>1482</v>
      </c>
      <c r="F228" s="22" t="s">
        <v>1564</v>
      </c>
      <c r="G228" s="22" t="s">
        <v>352</v>
      </c>
      <c r="H228" s="22" t="s">
        <v>642</v>
      </c>
      <c r="I228" s="47"/>
      <c r="J228" s="48" t="s">
        <v>1813</v>
      </c>
      <c r="K228" s="20" t="s">
        <v>17</v>
      </c>
      <c r="L228" s="49" t="s">
        <v>129</v>
      </c>
      <c r="M228" s="20" t="s">
        <v>868</v>
      </c>
      <c r="N228" s="20" t="s">
        <v>646</v>
      </c>
      <c r="O228" s="20" t="n">
        <v>4</v>
      </c>
      <c r="P228" s="45" t="s">
        <v>101</v>
      </c>
      <c r="Q228" s="46"/>
    </row>
    <row r="229" customFormat="false" ht="45" hidden="false" customHeight="true" outlineLevel="0" collapsed="false">
      <c r="A229" s="19" t="s">
        <v>1814</v>
      </c>
      <c r="B229" s="21" t="s">
        <v>89</v>
      </c>
      <c r="C229" s="5" t="s">
        <v>1815</v>
      </c>
      <c r="D229" s="21" t="s">
        <v>1816</v>
      </c>
      <c r="E229" s="21" t="s">
        <v>1482</v>
      </c>
      <c r="F229" s="21" t="s">
        <v>1564</v>
      </c>
      <c r="G229" s="21" t="s">
        <v>352</v>
      </c>
      <c r="H229" s="21" t="s">
        <v>642</v>
      </c>
      <c r="I229" s="42" t="s">
        <v>1817</v>
      </c>
      <c r="J229" s="43" t="s">
        <v>1818</v>
      </c>
      <c r="K229" s="19" t="s">
        <v>17</v>
      </c>
      <c r="L229" s="44" t="s">
        <v>717</v>
      </c>
      <c r="M229" s="19" t="s">
        <v>1819</v>
      </c>
      <c r="N229" s="19" t="s">
        <v>646</v>
      </c>
      <c r="O229" s="19" t="n">
        <v>4</v>
      </c>
      <c r="P229" s="45" t="s">
        <v>101</v>
      </c>
      <c r="Q229" s="46"/>
    </row>
    <row r="230" customFormat="false" ht="45" hidden="false" customHeight="true" outlineLevel="0" collapsed="false">
      <c r="A230" s="20" t="s">
        <v>1820</v>
      </c>
      <c r="B230" s="22" t="s">
        <v>91</v>
      </c>
      <c r="C230" s="8" t="s">
        <v>1821</v>
      </c>
      <c r="D230" s="22" t="s">
        <v>1822</v>
      </c>
      <c r="E230" s="22" t="s">
        <v>1823</v>
      </c>
      <c r="F230" s="22" t="s">
        <v>1564</v>
      </c>
      <c r="G230" s="22" t="s">
        <v>667</v>
      </c>
      <c r="H230" s="22" t="s">
        <v>642</v>
      </c>
      <c r="I230" s="47" t="s">
        <v>1824</v>
      </c>
      <c r="J230" s="48" t="s">
        <v>1825</v>
      </c>
      <c r="K230" s="20" t="s">
        <v>19</v>
      </c>
      <c r="L230" s="49" t="s">
        <v>5</v>
      </c>
      <c r="M230" s="20" t="s">
        <v>1826</v>
      </c>
      <c r="N230" s="20" t="s">
        <v>646</v>
      </c>
      <c r="O230" s="20" t="n">
        <v>12</v>
      </c>
      <c r="P230" s="45" t="s">
        <v>101</v>
      </c>
      <c r="Q230" s="46"/>
    </row>
    <row r="231" customFormat="false" ht="45" hidden="false" customHeight="true" outlineLevel="0" collapsed="false">
      <c r="A231" s="19" t="s">
        <v>1827</v>
      </c>
      <c r="B231" s="21" t="s">
        <v>91</v>
      </c>
      <c r="C231" s="5" t="s">
        <v>1828</v>
      </c>
      <c r="D231" s="21" t="s">
        <v>1829</v>
      </c>
      <c r="E231" s="21" t="s">
        <v>1823</v>
      </c>
      <c r="F231" s="21" t="s">
        <v>1564</v>
      </c>
      <c r="G231" s="21" t="s">
        <v>116</v>
      </c>
      <c r="H231" s="21" t="s">
        <v>642</v>
      </c>
      <c r="I231" s="42" t="s">
        <v>783</v>
      </c>
      <c r="J231" s="43" t="s">
        <v>1830</v>
      </c>
      <c r="K231" s="19" t="s">
        <v>19</v>
      </c>
      <c r="L231" s="44" t="s">
        <v>5</v>
      </c>
      <c r="M231" s="19" t="s">
        <v>1826</v>
      </c>
      <c r="N231" s="19" t="s">
        <v>646</v>
      </c>
      <c r="O231" s="19" t="n">
        <v>12</v>
      </c>
      <c r="P231" s="45" t="s">
        <v>101</v>
      </c>
      <c r="Q231" s="46"/>
    </row>
    <row r="232" customFormat="false" ht="45" hidden="false" customHeight="true" outlineLevel="0" collapsed="false">
      <c r="A232" s="20" t="s">
        <v>1831</v>
      </c>
      <c r="B232" s="22" t="s">
        <v>91</v>
      </c>
      <c r="C232" s="8" t="s">
        <v>1832</v>
      </c>
      <c r="D232" s="22" t="s">
        <v>1833</v>
      </c>
      <c r="E232" s="22" t="s">
        <v>1823</v>
      </c>
      <c r="F232" s="22" t="s">
        <v>1564</v>
      </c>
      <c r="G232" s="22" t="s">
        <v>116</v>
      </c>
      <c r="H232" s="22" t="s">
        <v>642</v>
      </c>
      <c r="I232" s="47" t="s">
        <v>783</v>
      </c>
      <c r="J232" s="48" t="s">
        <v>1834</v>
      </c>
      <c r="K232" s="20" t="s">
        <v>19</v>
      </c>
      <c r="L232" s="49" t="s">
        <v>5</v>
      </c>
      <c r="M232" s="20" t="s">
        <v>1826</v>
      </c>
      <c r="N232" s="20" t="s">
        <v>646</v>
      </c>
      <c r="O232" s="20" t="n">
        <v>10</v>
      </c>
      <c r="P232" s="45" t="s">
        <v>101</v>
      </c>
      <c r="Q232" s="46"/>
    </row>
    <row r="233" customFormat="false" ht="45" hidden="false" customHeight="true" outlineLevel="0" collapsed="false">
      <c r="A233" s="19" t="s">
        <v>1835</v>
      </c>
      <c r="B233" s="21" t="s">
        <v>91</v>
      </c>
      <c r="C233" s="5" t="s">
        <v>1836</v>
      </c>
      <c r="D233" s="21" t="s">
        <v>1837</v>
      </c>
      <c r="E233" s="21" t="s">
        <v>1823</v>
      </c>
      <c r="F233" s="21" t="s">
        <v>1564</v>
      </c>
      <c r="G233" s="21" t="s">
        <v>116</v>
      </c>
      <c r="H233" s="21" t="s">
        <v>642</v>
      </c>
      <c r="I233" s="42" t="s">
        <v>783</v>
      </c>
      <c r="J233" s="43" t="s">
        <v>1838</v>
      </c>
      <c r="K233" s="19" t="s">
        <v>19</v>
      </c>
      <c r="L233" s="44" t="s">
        <v>5</v>
      </c>
      <c r="M233" s="19" t="s">
        <v>1826</v>
      </c>
      <c r="N233" s="19" t="s">
        <v>646</v>
      </c>
      <c r="O233" s="19" t="n">
        <v>10</v>
      </c>
      <c r="P233" s="45" t="s">
        <v>101</v>
      </c>
      <c r="Q233" s="46"/>
    </row>
    <row r="234" customFormat="false" ht="45" hidden="false" customHeight="true" outlineLevel="0" collapsed="false">
      <c r="A234" s="20" t="s">
        <v>1839</v>
      </c>
      <c r="B234" s="22" t="s">
        <v>91</v>
      </c>
      <c r="C234" s="8" t="s">
        <v>1840</v>
      </c>
      <c r="D234" s="22" t="s">
        <v>1841</v>
      </c>
      <c r="E234" s="22" t="s">
        <v>1823</v>
      </c>
      <c r="F234" s="22" t="s">
        <v>1564</v>
      </c>
      <c r="G234" s="22" t="s">
        <v>116</v>
      </c>
      <c r="H234" s="22" t="s">
        <v>642</v>
      </c>
      <c r="I234" s="47" t="s">
        <v>783</v>
      </c>
      <c r="J234" s="48" t="s">
        <v>1842</v>
      </c>
      <c r="K234" s="20" t="s">
        <v>19</v>
      </c>
      <c r="L234" s="49" t="s">
        <v>5</v>
      </c>
      <c r="M234" s="20" t="s">
        <v>1826</v>
      </c>
      <c r="N234" s="20" t="s">
        <v>646</v>
      </c>
      <c r="O234" s="20" t="n">
        <v>10</v>
      </c>
      <c r="P234" s="45" t="s">
        <v>101</v>
      </c>
      <c r="Q234" s="46"/>
    </row>
    <row r="235" customFormat="false" ht="45" hidden="false" customHeight="true" outlineLevel="0" collapsed="false">
      <c r="A235" s="19" t="s">
        <v>1843</v>
      </c>
      <c r="B235" s="21" t="s">
        <v>91</v>
      </c>
      <c r="C235" s="5" t="s">
        <v>1844</v>
      </c>
      <c r="D235" s="21" t="s">
        <v>1845</v>
      </c>
      <c r="E235" s="21" t="s">
        <v>1846</v>
      </c>
      <c r="F235" s="21" t="s">
        <v>1609</v>
      </c>
      <c r="G235" s="21" t="s">
        <v>1847</v>
      </c>
      <c r="H235" s="21" t="s">
        <v>642</v>
      </c>
      <c r="I235" s="42" t="s">
        <v>1848</v>
      </c>
      <c r="J235" s="43" t="s">
        <v>1849</v>
      </c>
      <c r="K235" s="19" t="s">
        <v>19</v>
      </c>
      <c r="L235" s="44" t="s">
        <v>5</v>
      </c>
      <c r="M235" s="19" t="s">
        <v>1850</v>
      </c>
      <c r="N235" s="19" t="s">
        <v>646</v>
      </c>
      <c r="O235" s="19" t="n">
        <v>5</v>
      </c>
      <c r="P235" s="45" t="s">
        <v>101</v>
      </c>
      <c r="Q235" s="46"/>
    </row>
    <row r="236" customFormat="false" ht="45" hidden="false" customHeight="true" outlineLevel="0" collapsed="false">
      <c r="A236" s="20" t="s">
        <v>1851</v>
      </c>
      <c r="B236" s="22" t="s">
        <v>93</v>
      </c>
      <c r="C236" s="8" t="s">
        <v>1852</v>
      </c>
      <c r="D236" s="22" t="s">
        <v>1853</v>
      </c>
      <c r="E236" s="22" t="s">
        <v>1854</v>
      </c>
      <c r="F236" s="22" t="s">
        <v>1855</v>
      </c>
      <c r="G236" s="22" t="s">
        <v>1856</v>
      </c>
      <c r="H236" s="22" t="s">
        <v>1857</v>
      </c>
      <c r="I236" s="47" t="s">
        <v>1858</v>
      </c>
      <c r="J236" s="48" t="s">
        <v>1859</v>
      </c>
      <c r="K236" s="20" t="s">
        <v>19</v>
      </c>
      <c r="L236" s="49" t="s">
        <v>5</v>
      </c>
      <c r="M236" s="20" t="s">
        <v>1860</v>
      </c>
      <c r="N236" s="20" t="s">
        <v>671</v>
      </c>
      <c r="O236" s="20" t="n">
        <v>24</v>
      </c>
      <c r="P236" s="45" t="s">
        <v>101</v>
      </c>
      <c r="Q236" s="46"/>
    </row>
    <row r="237" customFormat="false" ht="45" hidden="false" customHeight="true" outlineLevel="0" collapsed="false">
      <c r="A237" s="19" t="s">
        <v>1861</v>
      </c>
      <c r="B237" s="21" t="s">
        <v>93</v>
      </c>
      <c r="C237" s="5" t="s">
        <v>1862</v>
      </c>
      <c r="D237" s="21" t="s">
        <v>1863</v>
      </c>
      <c r="E237" s="21" t="s">
        <v>1864</v>
      </c>
      <c r="F237" s="21" t="s">
        <v>1865</v>
      </c>
      <c r="G237" s="21" t="s">
        <v>1866</v>
      </c>
      <c r="H237" s="21" t="s">
        <v>1867</v>
      </c>
      <c r="I237" s="42" t="s">
        <v>1868</v>
      </c>
      <c r="J237" s="43" t="s">
        <v>1869</v>
      </c>
      <c r="K237" s="19" t="s">
        <v>19</v>
      </c>
      <c r="L237" s="44" t="s">
        <v>5</v>
      </c>
      <c r="M237" s="19" t="s">
        <v>1860</v>
      </c>
      <c r="N237" s="19" t="s">
        <v>671</v>
      </c>
      <c r="O237" s="19" t="n">
        <v>10</v>
      </c>
      <c r="P237" s="45" t="s">
        <v>101</v>
      </c>
      <c r="Q237" s="46"/>
    </row>
    <row r="238" customFormat="false" ht="45" hidden="false" customHeight="true" outlineLevel="0" collapsed="false">
      <c r="A238" s="20" t="s">
        <v>1870</v>
      </c>
      <c r="B238" s="22" t="s">
        <v>93</v>
      </c>
      <c r="C238" s="8" t="s">
        <v>1871</v>
      </c>
      <c r="D238" s="22" t="s">
        <v>1872</v>
      </c>
      <c r="E238" s="22" t="s">
        <v>1873</v>
      </c>
      <c r="F238" s="22" t="s">
        <v>1874</v>
      </c>
      <c r="G238" s="22" t="s">
        <v>116</v>
      </c>
      <c r="H238" s="22" t="s">
        <v>642</v>
      </c>
      <c r="I238" s="47" t="s">
        <v>1875</v>
      </c>
      <c r="J238" s="48" t="s">
        <v>1876</v>
      </c>
      <c r="K238" s="20" t="s">
        <v>15</v>
      </c>
      <c r="L238" s="49" t="s">
        <v>5</v>
      </c>
      <c r="M238" s="20" t="s">
        <v>1587</v>
      </c>
      <c r="N238" s="20" t="s">
        <v>646</v>
      </c>
      <c r="O238" s="20" t="n">
        <v>2</v>
      </c>
      <c r="P238" s="45" t="s">
        <v>101</v>
      </c>
      <c r="Q238" s="46"/>
    </row>
    <row r="239" customFormat="false" ht="45" hidden="false" customHeight="true" outlineLevel="0" collapsed="false">
      <c r="A239" s="19" t="s">
        <v>1877</v>
      </c>
      <c r="B239" s="21" t="s">
        <v>93</v>
      </c>
      <c r="C239" s="5" t="s">
        <v>1878</v>
      </c>
      <c r="D239" s="21" t="s">
        <v>1879</v>
      </c>
      <c r="E239" s="21" t="s">
        <v>1596</v>
      </c>
      <c r="F239" s="21" t="s">
        <v>666</v>
      </c>
      <c r="G239" s="21" t="s">
        <v>667</v>
      </c>
      <c r="H239" s="21" t="s">
        <v>662</v>
      </c>
      <c r="I239" s="42"/>
      <c r="J239" s="43" t="s">
        <v>1880</v>
      </c>
      <c r="K239" s="19" t="s">
        <v>15</v>
      </c>
      <c r="L239" s="44" t="s">
        <v>5</v>
      </c>
      <c r="M239" s="19" t="s">
        <v>1587</v>
      </c>
      <c r="N239" s="19" t="s">
        <v>646</v>
      </c>
      <c r="O239" s="19" t="n">
        <v>3</v>
      </c>
      <c r="P239" s="45" t="s">
        <v>101</v>
      </c>
      <c r="Q239" s="46"/>
    </row>
    <row r="240" customFormat="false" ht="45" hidden="false" customHeight="true" outlineLevel="0" collapsed="false">
      <c r="A240" s="20" t="s">
        <v>1881</v>
      </c>
      <c r="B240" s="22" t="s">
        <v>93</v>
      </c>
      <c r="C240" s="8" t="s">
        <v>1882</v>
      </c>
      <c r="D240" s="22" t="s">
        <v>1883</v>
      </c>
      <c r="E240" s="22" t="s">
        <v>1596</v>
      </c>
      <c r="F240" s="22" t="s">
        <v>666</v>
      </c>
      <c r="G240" s="22" t="s">
        <v>667</v>
      </c>
      <c r="H240" s="22" t="s">
        <v>1884</v>
      </c>
      <c r="I240" s="47"/>
      <c r="J240" s="48" t="s">
        <v>1885</v>
      </c>
      <c r="K240" s="20" t="s">
        <v>15</v>
      </c>
      <c r="L240" s="49" t="s">
        <v>129</v>
      </c>
      <c r="M240" s="20" t="s">
        <v>1587</v>
      </c>
      <c r="N240" s="20" t="s">
        <v>646</v>
      </c>
      <c r="O240" s="20" t="n">
        <v>4</v>
      </c>
      <c r="P240" s="45" t="s">
        <v>101</v>
      </c>
      <c r="Q240" s="46"/>
    </row>
    <row r="241" customFormat="false" ht="45" hidden="false" customHeight="true" outlineLevel="0" collapsed="false">
      <c r="A241" s="19" t="s">
        <v>1886</v>
      </c>
      <c r="B241" s="21" t="s">
        <v>93</v>
      </c>
      <c r="C241" s="5" t="s">
        <v>1887</v>
      </c>
      <c r="D241" s="21" t="s">
        <v>1888</v>
      </c>
      <c r="E241" s="21" t="s">
        <v>1889</v>
      </c>
      <c r="F241" s="21" t="s">
        <v>666</v>
      </c>
      <c r="G241" s="21" t="s">
        <v>667</v>
      </c>
      <c r="H241" s="21" t="s">
        <v>642</v>
      </c>
      <c r="I241" s="42"/>
      <c r="J241" s="43" t="s">
        <v>1890</v>
      </c>
      <c r="K241" s="19" t="s">
        <v>21</v>
      </c>
      <c r="L241" s="44" t="s">
        <v>129</v>
      </c>
      <c r="M241" s="19" t="s">
        <v>1891</v>
      </c>
      <c r="N241" s="19" t="s">
        <v>646</v>
      </c>
      <c r="O241" s="19" t="n">
        <v>3</v>
      </c>
      <c r="P241" s="45" t="s">
        <v>101</v>
      </c>
      <c r="Q241" s="46"/>
    </row>
    <row r="242" customFormat="false" ht="45" hidden="false" customHeight="true" outlineLevel="0" collapsed="false">
      <c r="A242" s="20" t="s">
        <v>1892</v>
      </c>
      <c r="B242" s="22" t="s">
        <v>93</v>
      </c>
      <c r="C242" s="8" t="s">
        <v>1893</v>
      </c>
      <c r="D242" s="22" t="s">
        <v>1894</v>
      </c>
      <c r="E242" s="22" t="s">
        <v>1895</v>
      </c>
      <c r="F242" s="22" t="s">
        <v>943</v>
      </c>
      <c r="G242" s="22" t="s">
        <v>1896</v>
      </c>
      <c r="H242" s="22" t="s">
        <v>642</v>
      </c>
      <c r="I242" s="47" t="s">
        <v>1897</v>
      </c>
      <c r="J242" s="48" t="s">
        <v>1898</v>
      </c>
      <c r="K242" s="20" t="s">
        <v>19</v>
      </c>
      <c r="L242" s="49" t="s">
        <v>5</v>
      </c>
      <c r="M242" s="20" t="s">
        <v>1899</v>
      </c>
      <c r="N242" s="20" t="s">
        <v>646</v>
      </c>
      <c r="O242" s="20" t="n">
        <v>3</v>
      </c>
      <c r="P242" s="45" t="s">
        <v>101</v>
      </c>
      <c r="Q242" s="46"/>
    </row>
    <row r="243" customFormat="false" ht="45" hidden="false" customHeight="true" outlineLevel="0" collapsed="false">
      <c r="A243" s="19" t="s">
        <v>1900</v>
      </c>
      <c r="B243" s="21" t="s">
        <v>93</v>
      </c>
      <c r="C243" s="5" t="s">
        <v>1901</v>
      </c>
      <c r="D243" s="21" t="s">
        <v>1902</v>
      </c>
      <c r="E243" s="21" t="s">
        <v>1903</v>
      </c>
      <c r="F243" s="21" t="s">
        <v>666</v>
      </c>
      <c r="G243" s="21" t="s">
        <v>667</v>
      </c>
      <c r="H243" s="21" t="s">
        <v>642</v>
      </c>
      <c r="I243" s="42" t="s">
        <v>1904</v>
      </c>
      <c r="J243" s="43" t="s">
        <v>1905</v>
      </c>
      <c r="K243" s="19" t="s">
        <v>19</v>
      </c>
      <c r="L243" s="44" t="s">
        <v>5</v>
      </c>
      <c r="M243" s="19" t="s">
        <v>1899</v>
      </c>
      <c r="N243" s="19" t="s">
        <v>646</v>
      </c>
      <c r="O243" s="19" t="n">
        <v>1</v>
      </c>
      <c r="P243" s="45" t="s">
        <v>101</v>
      </c>
      <c r="Q243" s="46"/>
    </row>
    <row r="244" customFormat="false" ht="45" hidden="false" customHeight="true" outlineLevel="0" collapsed="false">
      <c r="A244" s="20" t="s">
        <v>354</v>
      </c>
      <c r="B244" s="22" t="s">
        <v>95</v>
      </c>
      <c r="C244" s="8" t="s">
        <v>355</v>
      </c>
      <c r="D244" s="22" t="s">
        <v>1906</v>
      </c>
      <c r="E244" s="22" t="s">
        <v>651</v>
      </c>
      <c r="F244" s="22" t="s">
        <v>1907</v>
      </c>
      <c r="G244" s="22" t="s">
        <v>205</v>
      </c>
      <c r="H244" s="22" t="s">
        <v>1908</v>
      </c>
      <c r="I244" s="47" t="s">
        <v>1909</v>
      </c>
      <c r="J244" s="48" t="s">
        <v>1910</v>
      </c>
      <c r="K244" s="20" t="s">
        <v>13</v>
      </c>
      <c r="L244" s="49" t="s">
        <v>5</v>
      </c>
      <c r="M244" s="20" t="s">
        <v>822</v>
      </c>
      <c r="N244" s="20" t="s">
        <v>646</v>
      </c>
      <c r="O244" s="20" t="n">
        <v>2</v>
      </c>
      <c r="P244" s="45" t="s">
        <v>101</v>
      </c>
      <c r="Q244" s="46"/>
    </row>
    <row r="245" customFormat="false" ht="45" hidden="false" customHeight="true" outlineLevel="0" collapsed="false">
      <c r="A245" s="19" t="s">
        <v>357</v>
      </c>
      <c r="B245" s="21" t="s">
        <v>95</v>
      </c>
      <c r="C245" s="5" t="s">
        <v>358</v>
      </c>
      <c r="D245" s="21" t="s">
        <v>1911</v>
      </c>
      <c r="E245" s="21" t="s">
        <v>1912</v>
      </c>
      <c r="F245" s="21" t="s">
        <v>739</v>
      </c>
      <c r="G245" s="21" t="s">
        <v>359</v>
      </c>
      <c r="H245" s="21" t="s">
        <v>740</v>
      </c>
      <c r="I245" s="42" t="s">
        <v>1913</v>
      </c>
      <c r="J245" s="43" t="s">
        <v>1914</v>
      </c>
      <c r="K245" s="19" t="s">
        <v>13</v>
      </c>
      <c r="L245" s="44" t="s">
        <v>5</v>
      </c>
      <c r="M245" s="19" t="s">
        <v>1238</v>
      </c>
      <c r="N245" s="19" t="s">
        <v>646</v>
      </c>
      <c r="O245" s="19" t="n">
        <v>2</v>
      </c>
      <c r="P245" s="45" t="s">
        <v>101</v>
      </c>
      <c r="Q245" s="46"/>
    </row>
    <row r="246" customFormat="false" ht="45" hidden="false" customHeight="true" outlineLevel="0" collapsed="false">
      <c r="A246" s="20" t="s">
        <v>360</v>
      </c>
      <c r="B246" s="22" t="s">
        <v>95</v>
      </c>
      <c r="C246" s="8" t="s">
        <v>361</v>
      </c>
      <c r="D246" s="22" t="s">
        <v>1915</v>
      </c>
      <c r="E246" s="22" t="s">
        <v>1916</v>
      </c>
      <c r="F246" s="22" t="s">
        <v>739</v>
      </c>
      <c r="G246" s="22" t="s">
        <v>359</v>
      </c>
      <c r="H246" s="22" t="s">
        <v>740</v>
      </c>
      <c r="I246" s="47" t="s">
        <v>1084</v>
      </c>
      <c r="J246" s="48" t="s">
        <v>1917</v>
      </c>
      <c r="K246" s="20" t="s">
        <v>13</v>
      </c>
      <c r="L246" s="49" t="s">
        <v>5</v>
      </c>
      <c r="M246" s="20" t="s">
        <v>1033</v>
      </c>
      <c r="N246" s="20" t="s">
        <v>646</v>
      </c>
      <c r="O246" s="20" t="n">
        <v>2</v>
      </c>
      <c r="P246" s="45" t="s">
        <v>101</v>
      </c>
      <c r="Q246" s="46"/>
    </row>
    <row r="247" customFormat="false" ht="45" hidden="false" customHeight="true" outlineLevel="0" collapsed="false">
      <c r="A247" s="19" t="s">
        <v>366</v>
      </c>
      <c r="B247" s="21" t="s">
        <v>97</v>
      </c>
      <c r="C247" s="5" t="s">
        <v>367</v>
      </c>
      <c r="D247" s="21" t="s">
        <v>1918</v>
      </c>
      <c r="E247" s="21" t="s">
        <v>1703</v>
      </c>
      <c r="F247" s="21" t="s">
        <v>1919</v>
      </c>
      <c r="G247" s="21" t="s">
        <v>368</v>
      </c>
      <c r="H247" s="21" t="s">
        <v>642</v>
      </c>
      <c r="I247" s="42" t="s">
        <v>1920</v>
      </c>
      <c r="J247" s="43" t="s">
        <v>1921</v>
      </c>
      <c r="K247" s="19" t="s">
        <v>13</v>
      </c>
      <c r="L247" s="44" t="s">
        <v>5</v>
      </c>
      <c r="M247" s="19" t="s">
        <v>1922</v>
      </c>
      <c r="N247" s="19" t="s">
        <v>646</v>
      </c>
      <c r="O247" s="19" t="n">
        <v>2</v>
      </c>
      <c r="P247" s="45" t="s">
        <v>101</v>
      </c>
      <c r="Q247" s="46"/>
    </row>
    <row r="248" customFormat="false" ht="45" hidden="false" customHeight="true" outlineLevel="0" collapsed="false">
      <c r="A248" s="20" t="s">
        <v>370</v>
      </c>
      <c r="B248" s="22" t="s">
        <v>97</v>
      </c>
      <c r="C248" s="8" t="s">
        <v>371</v>
      </c>
      <c r="D248" s="22" t="s">
        <v>1923</v>
      </c>
      <c r="E248" s="22" t="s">
        <v>1703</v>
      </c>
      <c r="F248" s="22" t="s">
        <v>1919</v>
      </c>
      <c r="G248" s="22" t="s">
        <v>372</v>
      </c>
      <c r="H248" s="22" t="s">
        <v>642</v>
      </c>
      <c r="I248" s="47" t="s">
        <v>1924</v>
      </c>
      <c r="J248" s="48" t="s">
        <v>1925</v>
      </c>
      <c r="K248" s="20" t="s">
        <v>13</v>
      </c>
      <c r="L248" s="49" t="s">
        <v>5</v>
      </c>
      <c r="M248" s="20" t="s">
        <v>1922</v>
      </c>
      <c r="N248" s="20" t="s">
        <v>646</v>
      </c>
      <c r="O248" s="20" t="n">
        <v>2</v>
      </c>
      <c r="P248" s="45" t="s">
        <v>101</v>
      </c>
      <c r="Q248" s="46"/>
    </row>
    <row r="249" customFormat="false" ht="45" hidden="false" customHeight="true" outlineLevel="0" collapsed="false">
      <c r="A249" s="19" t="s">
        <v>373</v>
      </c>
      <c r="B249" s="21" t="s">
        <v>97</v>
      </c>
      <c r="C249" s="5" t="s">
        <v>374</v>
      </c>
      <c r="D249" s="21" t="s">
        <v>1926</v>
      </c>
      <c r="E249" s="21" t="s">
        <v>1703</v>
      </c>
      <c r="F249" s="21" t="s">
        <v>1919</v>
      </c>
      <c r="G249" s="21" t="s">
        <v>375</v>
      </c>
      <c r="H249" s="21" t="s">
        <v>642</v>
      </c>
      <c r="I249" s="42" t="s">
        <v>1924</v>
      </c>
      <c r="J249" s="43" t="s">
        <v>1927</v>
      </c>
      <c r="K249" s="19" t="s">
        <v>13</v>
      </c>
      <c r="L249" s="44" t="s">
        <v>5</v>
      </c>
      <c r="M249" s="19" t="s">
        <v>1922</v>
      </c>
      <c r="N249" s="19" t="s">
        <v>646</v>
      </c>
      <c r="O249" s="19" t="n">
        <v>3</v>
      </c>
      <c r="P249" s="45" t="s">
        <v>101</v>
      </c>
      <c r="Q249" s="46"/>
    </row>
    <row r="250" customFormat="false" ht="45" hidden="false" customHeight="true" outlineLevel="0" collapsed="false">
      <c r="A250" s="20" t="s">
        <v>376</v>
      </c>
      <c r="B250" s="22" t="s">
        <v>97</v>
      </c>
      <c r="C250" s="8" t="s">
        <v>377</v>
      </c>
      <c r="D250" s="22" t="s">
        <v>1928</v>
      </c>
      <c r="E250" s="22" t="s">
        <v>1703</v>
      </c>
      <c r="F250" s="22" t="s">
        <v>1919</v>
      </c>
      <c r="G250" s="22" t="s">
        <v>378</v>
      </c>
      <c r="H250" s="22" t="s">
        <v>642</v>
      </c>
      <c r="I250" s="47" t="s">
        <v>1924</v>
      </c>
      <c r="J250" s="48" t="s">
        <v>1929</v>
      </c>
      <c r="K250" s="20" t="s">
        <v>13</v>
      </c>
      <c r="L250" s="49" t="s">
        <v>5</v>
      </c>
      <c r="M250" s="20" t="s">
        <v>1922</v>
      </c>
      <c r="N250" s="20" t="s">
        <v>646</v>
      </c>
      <c r="O250" s="20" t="n">
        <v>3</v>
      </c>
      <c r="P250" s="45" t="s">
        <v>101</v>
      </c>
      <c r="Q250" s="46"/>
    </row>
    <row r="251" customFormat="false" ht="45" hidden="false" customHeight="true" outlineLevel="0" collapsed="false">
      <c r="A251" s="19" t="s">
        <v>382</v>
      </c>
      <c r="B251" s="21" t="s">
        <v>97</v>
      </c>
      <c r="C251" s="5" t="s">
        <v>383</v>
      </c>
      <c r="D251" s="21" t="s">
        <v>1930</v>
      </c>
      <c r="E251" s="21" t="s">
        <v>1703</v>
      </c>
      <c r="F251" s="21" t="s">
        <v>1919</v>
      </c>
      <c r="G251" s="21" t="s">
        <v>384</v>
      </c>
      <c r="H251" s="21" t="s">
        <v>642</v>
      </c>
      <c r="I251" s="42" t="s">
        <v>1931</v>
      </c>
      <c r="J251" s="43" t="s">
        <v>1932</v>
      </c>
      <c r="K251" s="19" t="s">
        <v>13</v>
      </c>
      <c r="L251" s="44" t="s">
        <v>129</v>
      </c>
      <c r="M251" s="19" t="s">
        <v>1922</v>
      </c>
      <c r="N251" s="19" t="s">
        <v>646</v>
      </c>
      <c r="O251" s="19" t="n">
        <v>1</v>
      </c>
      <c r="P251" s="45" t="s">
        <v>101</v>
      </c>
      <c r="Q251" s="46"/>
    </row>
    <row r="252" customFormat="false" ht="45" hidden="false" customHeight="true" outlineLevel="0" collapsed="false">
      <c r="A252" s="20" t="s">
        <v>1933</v>
      </c>
      <c r="B252" s="22" t="s">
        <v>97</v>
      </c>
      <c r="C252" s="8" t="s">
        <v>1934</v>
      </c>
      <c r="D252" s="22" t="s">
        <v>1935</v>
      </c>
      <c r="E252" s="22" t="s">
        <v>1703</v>
      </c>
      <c r="F252" s="22" t="s">
        <v>1919</v>
      </c>
      <c r="G252" s="22" t="s">
        <v>1936</v>
      </c>
      <c r="H252" s="22" t="s">
        <v>642</v>
      </c>
      <c r="I252" s="47" t="s">
        <v>1924</v>
      </c>
      <c r="J252" s="48" t="s">
        <v>1937</v>
      </c>
      <c r="K252" s="20" t="s">
        <v>19</v>
      </c>
      <c r="L252" s="49" t="s">
        <v>5</v>
      </c>
      <c r="M252" s="20" t="s">
        <v>1707</v>
      </c>
      <c r="N252" s="20" t="s">
        <v>646</v>
      </c>
      <c r="O252" s="20" t="n">
        <v>2</v>
      </c>
      <c r="P252" s="45" t="s">
        <v>101</v>
      </c>
      <c r="Q252" s="46"/>
    </row>
    <row r="253" customFormat="false" ht="45" hidden="false" customHeight="true" outlineLevel="0" collapsed="false">
      <c r="A253" s="19" t="s">
        <v>1938</v>
      </c>
      <c r="B253" s="21" t="s">
        <v>97</v>
      </c>
      <c r="C253" s="5" t="s">
        <v>1939</v>
      </c>
      <c r="D253" s="21" t="s">
        <v>1940</v>
      </c>
      <c r="E253" s="21" t="s">
        <v>1703</v>
      </c>
      <c r="F253" s="21" t="s">
        <v>1919</v>
      </c>
      <c r="G253" s="21" t="s">
        <v>1941</v>
      </c>
      <c r="H253" s="21" t="s">
        <v>642</v>
      </c>
      <c r="I253" s="42" t="s">
        <v>1942</v>
      </c>
      <c r="J253" s="43" t="s">
        <v>1943</v>
      </c>
      <c r="K253" s="19" t="s">
        <v>19</v>
      </c>
      <c r="L253" s="44" t="s">
        <v>5</v>
      </c>
      <c r="M253" s="19" t="s">
        <v>1707</v>
      </c>
      <c r="N253" s="19" t="s">
        <v>646</v>
      </c>
      <c r="O253" s="19" t="n">
        <v>3</v>
      </c>
      <c r="P253" s="45" t="s">
        <v>101</v>
      </c>
      <c r="Q253" s="46"/>
    </row>
    <row r="254" customFormat="false" ht="45" hidden="false" customHeight="true" outlineLevel="0" collapsed="false">
      <c r="A254" s="20" t="s">
        <v>1944</v>
      </c>
      <c r="B254" s="22" t="s">
        <v>97</v>
      </c>
      <c r="C254" s="8" t="s">
        <v>1945</v>
      </c>
      <c r="D254" s="22" t="s">
        <v>1946</v>
      </c>
      <c r="E254" s="22" t="s">
        <v>1703</v>
      </c>
      <c r="F254" s="22" t="s">
        <v>1919</v>
      </c>
      <c r="G254" s="22" t="s">
        <v>1947</v>
      </c>
      <c r="H254" s="22" t="s">
        <v>642</v>
      </c>
      <c r="I254" s="47" t="s">
        <v>1948</v>
      </c>
      <c r="J254" s="48" t="s">
        <v>1949</v>
      </c>
      <c r="K254" s="20" t="s">
        <v>19</v>
      </c>
      <c r="L254" s="49" t="s">
        <v>5</v>
      </c>
      <c r="M254" s="20" t="s">
        <v>1707</v>
      </c>
      <c r="N254" s="20" t="s">
        <v>646</v>
      </c>
      <c r="O254" s="20" t="n">
        <v>1</v>
      </c>
      <c r="P254" s="45" t="s">
        <v>101</v>
      </c>
      <c r="Q254" s="46"/>
    </row>
    <row r="255" customFormat="false" ht="45" hidden="false" customHeight="true" outlineLevel="0" collapsed="false">
      <c r="A255" s="19" t="s">
        <v>1950</v>
      </c>
      <c r="B255" s="21" t="s">
        <v>97</v>
      </c>
      <c r="C255" s="5" t="s">
        <v>1951</v>
      </c>
      <c r="D255" s="21" t="s">
        <v>1952</v>
      </c>
      <c r="E255" s="21" t="s">
        <v>1703</v>
      </c>
      <c r="F255" s="21" t="s">
        <v>1919</v>
      </c>
      <c r="G255" s="21" t="s">
        <v>368</v>
      </c>
      <c r="H255" s="21" t="s">
        <v>642</v>
      </c>
      <c r="I255" s="42" t="s">
        <v>1924</v>
      </c>
      <c r="J255" s="43" t="s">
        <v>1953</v>
      </c>
      <c r="K255" s="19" t="s">
        <v>19</v>
      </c>
      <c r="L255" s="44" t="s">
        <v>5</v>
      </c>
      <c r="M255" s="19" t="s">
        <v>1707</v>
      </c>
      <c r="N255" s="19" t="s">
        <v>646</v>
      </c>
      <c r="O255" s="19" t="n">
        <v>1</v>
      </c>
      <c r="P255" s="45" t="s">
        <v>101</v>
      </c>
      <c r="Q255" s="46"/>
    </row>
    <row r="256" customFormat="false" ht="45" hidden="false" customHeight="true" outlineLevel="0" collapsed="false">
      <c r="A256" s="20" t="s">
        <v>1954</v>
      </c>
      <c r="B256" s="22" t="s">
        <v>97</v>
      </c>
      <c r="C256" s="8" t="s">
        <v>1955</v>
      </c>
      <c r="D256" s="22" t="s">
        <v>1956</v>
      </c>
      <c r="E256" s="22" t="s">
        <v>1703</v>
      </c>
      <c r="F256" s="22" t="s">
        <v>1919</v>
      </c>
      <c r="G256" s="22" t="s">
        <v>1957</v>
      </c>
      <c r="H256" s="22" t="s">
        <v>662</v>
      </c>
      <c r="I256" s="47" t="s">
        <v>1958</v>
      </c>
      <c r="J256" s="48" t="s">
        <v>1959</v>
      </c>
      <c r="K256" s="20" t="s">
        <v>19</v>
      </c>
      <c r="L256" s="49" t="s">
        <v>5</v>
      </c>
      <c r="M256" s="20" t="s">
        <v>1707</v>
      </c>
      <c r="N256" s="20" t="s">
        <v>646</v>
      </c>
      <c r="O256" s="20" t="n">
        <v>1</v>
      </c>
      <c r="P256" s="45" t="s">
        <v>101</v>
      </c>
      <c r="Q256" s="46"/>
    </row>
    <row r="257" customFormat="false" ht="45" hidden="false" customHeight="true" outlineLevel="0" collapsed="false">
      <c r="A257" s="19" t="s">
        <v>1960</v>
      </c>
      <c r="B257" s="21" t="s">
        <v>97</v>
      </c>
      <c r="C257" s="5" t="s">
        <v>1961</v>
      </c>
      <c r="D257" s="21" t="s">
        <v>1962</v>
      </c>
      <c r="E257" s="21" t="s">
        <v>1703</v>
      </c>
      <c r="F257" s="21" t="s">
        <v>1919</v>
      </c>
      <c r="G257" s="21" t="s">
        <v>1963</v>
      </c>
      <c r="H257" s="21" t="s">
        <v>1964</v>
      </c>
      <c r="I257" s="42" t="s">
        <v>1965</v>
      </c>
      <c r="J257" s="43" t="s">
        <v>1966</v>
      </c>
      <c r="K257" s="19" t="s">
        <v>17</v>
      </c>
      <c r="L257" s="44" t="s">
        <v>129</v>
      </c>
      <c r="M257" s="19" t="s">
        <v>1922</v>
      </c>
      <c r="N257" s="19" t="s">
        <v>646</v>
      </c>
      <c r="O257" s="19" t="n">
        <v>2</v>
      </c>
      <c r="P257" s="45" t="s">
        <v>101</v>
      </c>
      <c r="Q257" s="46"/>
    </row>
    <row r="258" customFormat="false" ht="45" hidden="false" customHeight="true" outlineLevel="0" collapsed="false">
      <c r="A258" s="20" t="s">
        <v>1967</v>
      </c>
      <c r="B258" s="22" t="s">
        <v>97</v>
      </c>
      <c r="C258" s="8" t="s">
        <v>1968</v>
      </c>
      <c r="D258" s="22" t="s">
        <v>1969</v>
      </c>
      <c r="E258" s="22" t="s">
        <v>1970</v>
      </c>
      <c r="F258" s="22" t="s">
        <v>1971</v>
      </c>
      <c r="G258" s="22" t="s">
        <v>1972</v>
      </c>
      <c r="H258" s="22" t="s">
        <v>1973</v>
      </c>
      <c r="I258" s="47" t="s">
        <v>1974</v>
      </c>
      <c r="J258" s="48" t="s">
        <v>1975</v>
      </c>
      <c r="K258" s="20" t="s">
        <v>19</v>
      </c>
      <c r="L258" s="49" t="s">
        <v>5</v>
      </c>
      <c r="M258" s="20" t="s">
        <v>1860</v>
      </c>
      <c r="N258" s="20" t="s">
        <v>646</v>
      </c>
      <c r="O258" s="20" t="n">
        <v>4</v>
      </c>
      <c r="P258" s="45" t="s">
        <v>101</v>
      </c>
      <c r="Q258" s="46"/>
    </row>
    <row r="259" customFormat="false" ht="45" hidden="false" customHeight="true" outlineLevel="0" collapsed="false">
      <c r="A259" s="19" t="s">
        <v>379</v>
      </c>
      <c r="B259" s="21" t="s">
        <v>97</v>
      </c>
      <c r="C259" s="5" t="s">
        <v>380</v>
      </c>
      <c r="D259" s="21" t="s">
        <v>1976</v>
      </c>
      <c r="E259" s="21" t="s">
        <v>1977</v>
      </c>
      <c r="F259" s="21" t="s">
        <v>1919</v>
      </c>
      <c r="G259" s="21" t="s">
        <v>381</v>
      </c>
      <c r="H259" s="21" t="s">
        <v>642</v>
      </c>
      <c r="I259" s="42" t="s">
        <v>1978</v>
      </c>
      <c r="J259" s="43" t="s">
        <v>1979</v>
      </c>
      <c r="K259" s="19" t="s">
        <v>13</v>
      </c>
      <c r="L259" s="44" t="s">
        <v>5</v>
      </c>
      <c r="M259" s="19" t="s">
        <v>1922</v>
      </c>
      <c r="N259" s="19" t="s">
        <v>646</v>
      </c>
      <c r="O259" s="19" t="n">
        <v>1</v>
      </c>
      <c r="P259" s="45" t="s">
        <v>101</v>
      </c>
      <c r="Q259" s="46"/>
    </row>
    <row r="260" customFormat="false" ht="45" hidden="false" customHeight="true" outlineLevel="0" collapsed="false">
      <c r="A260" s="20" t="s">
        <v>385</v>
      </c>
      <c r="B260" s="22" t="s">
        <v>97</v>
      </c>
      <c r="C260" s="8" t="s">
        <v>386</v>
      </c>
      <c r="D260" s="22" t="s">
        <v>1980</v>
      </c>
      <c r="E260" s="22" t="s">
        <v>1977</v>
      </c>
      <c r="F260" s="22" t="s">
        <v>1919</v>
      </c>
      <c r="G260" s="22" t="s">
        <v>387</v>
      </c>
      <c r="H260" s="22" t="s">
        <v>662</v>
      </c>
      <c r="I260" s="47" t="s">
        <v>1981</v>
      </c>
      <c r="J260" s="48" t="s">
        <v>1982</v>
      </c>
      <c r="K260" s="20" t="s">
        <v>13</v>
      </c>
      <c r="L260" s="49" t="s">
        <v>129</v>
      </c>
      <c r="M260" s="20" t="s">
        <v>1922</v>
      </c>
      <c r="N260" s="20" t="s">
        <v>646</v>
      </c>
      <c r="O260" s="20" t="n">
        <v>2</v>
      </c>
      <c r="P260" s="45" t="s">
        <v>101</v>
      </c>
      <c r="Q260" s="46"/>
    </row>
    <row r="261" customFormat="false" ht="45" hidden="false" customHeight="true" outlineLevel="0" collapsed="false">
      <c r="A261" s="19" t="s">
        <v>1983</v>
      </c>
      <c r="B261" s="21" t="s">
        <v>97</v>
      </c>
      <c r="C261" s="5" t="s">
        <v>1984</v>
      </c>
      <c r="D261" s="21" t="s">
        <v>1985</v>
      </c>
      <c r="E261" s="21" t="s">
        <v>1986</v>
      </c>
      <c r="F261" s="21" t="s">
        <v>1987</v>
      </c>
      <c r="G261" s="21" t="s">
        <v>116</v>
      </c>
      <c r="H261" s="21" t="s">
        <v>1566</v>
      </c>
      <c r="I261" s="42" t="s">
        <v>1988</v>
      </c>
      <c r="J261" s="43" t="s">
        <v>1989</v>
      </c>
      <c r="K261" s="19" t="s">
        <v>21</v>
      </c>
      <c r="L261" s="44" t="s">
        <v>5</v>
      </c>
      <c r="M261" s="19" t="s">
        <v>1860</v>
      </c>
      <c r="N261" s="19" t="s">
        <v>646</v>
      </c>
      <c r="O261" s="19" t="n">
        <v>4</v>
      </c>
      <c r="P261" s="45" t="s">
        <v>101</v>
      </c>
      <c r="Q261" s="46"/>
    </row>
    <row r="262" customFormat="false" ht="45" hidden="false" customHeight="true" outlineLevel="0" collapsed="false">
      <c r="A262" s="20" t="s">
        <v>1990</v>
      </c>
      <c r="B262" s="22" t="s">
        <v>97</v>
      </c>
      <c r="C262" s="8" t="s">
        <v>1991</v>
      </c>
      <c r="D262" s="22" t="s">
        <v>1992</v>
      </c>
      <c r="E262" s="22" t="s">
        <v>1993</v>
      </c>
      <c r="F262" s="22" t="s">
        <v>1865</v>
      </c>
      <c r="G262" s="22" t="s">
        <v>1994</v>
      </c>
      <c r="H262" s="22" t="s">
        <v>1995</v>
      </c>
      <c r="I262" s="47"/>
      <c r="J262" s="48" t="s">
        <v>1996</v>
      </c>
      <c r="K262" s="20" t="s">
        <v>21</v>
      </c>
      <c r="L262" s="49" t="s">
        <v>129</v>
      </c>
      <c r="M262" s="20" t="s">
        <v>1860</v>
      </c>
      <c r="N262" s="20" t="s">
        <v>646</v>
      </c>
      <c r="O262" s="20" t="n">
        <v>1</v>
      </c>
      <c r="P262" s="45" t="s">
        <v>101</v>
      </c>
      <c r="Q262" s="46"/>
    </row>
    <row r="264" customFormat="false" ht="15" hidden="false" customHeight="false" outlineLevel="0" collapsed="false">
      <c r="A264" s="50" t="s">
        <v>1997</v>
      </c>
      <c r="B264" s="50"/>
      <c r="C264" s="50"/>
      <c r="D264" s="50"/>
      <c r="E264" s="50"/>
      <c r="F264" s="50"/>
      <c r="G264" s="50"/>
      <c r="H264" s="50"/>
      <c r="I264" s="50"/>
      <c r="J264" s="50"/>
      <c r="K264" s="50"/>
      <c r="L264" s="50"/>
      <c r="M264" s="50"/>
      <c r="N264" s="50"/>
      <c r="O264" s="51" t="n">
        <f aca="false">SUM(O5:O262)</f>
        <v>1327</v>
      </c>
    </row>
  </sheetData>
  <autoFilter ref="A4:Q262"/>
  <mergeCells count="3">
    <mergeCell ref="A1:Q1"/>
    <mergeCell ref="A2:Q2"/>
    <mergeCell ref="A264:N264"/>
  </mergeCells>
  <conditionalFormatting sqref="P5:P262">
    <cfRule type="cellIs" priority="2" operator="equal" aboveAverage="0" equalAverage="0" bottom="0" percent="0" rank="0" text="" dxfId="8">
      <formula>"Imported"</formula>
    </cfRule>
    <cfRule type="cellIs" priority="3" operator="equal" aboveAverage="0" equalAverage="0" bottom="0" percent="0" rank="0" text="" dxfId="9">
      <formula>"Final"</formula>
    </cfRule>
    <cfRule type="cellIs" priority="4" operator="equal" aboveAverage="0" equalAverage="0" bottom="0" percent="0" rank="0" text="" dxfId="10">
      <formula>"Review"</formula>
    </cfRule>
    <cfRule type="cellIs" priority="5" operator="equal" aboveAverage="0" equalAverage="0" bottom="0" percent="0" rank="0" text="" dxfId="11">
      <formula>"In progress"</formula>
    </cfRule>
    <cfRule type="cellIs" priority="6" operator="equal" aboveAverage="0" equalAverage="0" bottom="0" percent="0" rank="0" text="" dxfId="12">
      <formula>"Sketch"</formula>
    </cfRule>
    <cfRule type="cellIs" priority="7" operator="equal" aboveAverage="0" equalAverage="0" bottom="0" percent="0" rank="0" text="" dxfId="13">
      <formula>"Cut"</formula>
    </cfRule>
  </conditionalFormatting>
  <conditionalFormatting sqref="L5:L262">
    <cfRule type="cellIs" priority="8" operator="equal" aboveAverage="0" equalAverage="0" bottom="0" percent="0" rank="0" text="" dxfId="14">
      <formula>"Must"</formula>
    </cfRule>
  </conditionalFormatting>
  <dataValidations count="1">
    <dataValidation allowBlank="true" errorStyle="stop" operator="between" showDropDown="false" showErrorMessage="false" showInputMessage="false" sqref="P5:P262" type="list">
      <formula1>"Not started,Sketch,In progress,Review,Final,Imported,Cut"</formula1>
      <formula2>0</formula2>
    </dataValidation>
  </dataValidations>
  <printOptions headings="false" gridLines="false" gridLinesSet="true" horizontalCentered="false" verticalCentered="false"/>
  <pageMargins left="0.75" right="0.75" top="1" bottom="1" header="0.5" footer="0.5"/>
  <pageSetup paperSize="1" scale="100" fitToWidth="1" fitToHeight="0" pageOrder="downThenOver" orientation="landscape" blackAndWhite="false" draft="false" cellComments="none" horizontalDpi="300" verticalDpi="300" copies="1"/>
  <headerFooter differentFirst="false" differentOddEven="false">
    <oddHeader>&amp;LVinland  |  Art Asset List</oddHeader>
    <oddFooter>&amp;LYellow cells with blue text are yours to fill in. Black text is a formula or fixed spec.&amp;RPage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2026-10-18T02:46:04Z</dcterms:created>
  <dc:creator>openpyxl</dc:creator>
  <dc:description/>
  <dc:language>en-US</dc:language>
  <cp:lastModifiedBy/>
  <dcterms:modified xsi:type="dcterms:W3CDTF">2026-10-18T02:46:04Z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