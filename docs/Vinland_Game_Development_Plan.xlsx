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ssumptions" sheetId="2" state="visible" r:id="rId4"/>
    <sheet name="Pillars" sheetId="3" state="visible" r:id="rId5"/>
    <sheet name="Systems" sheetId="4" state="visible" r:id="rId6"/>
    <sheet name="HoldCheck" sheetId="5" state="visible" r:id="rId7"/>
    <sheet name="MiniGames" sheetId="6" state="visible" r:id="rId8"/>
    <sheet name="Backlog" sheetId="7" state="visible" r:id="rId9"/>
    <sheet name="Schedule" sheetId="8" state="visible" r:id="rId10"/>
    <sheet name="Timeline" sheetId="9" state="visible" r:id="rId11"/>
    <sheet name="TeamBudget" sheetId="10" state="visible" r:id="rId12"/>
    <sheet name="Breakeven" sheetId="11" state="visible" r:id="rId13"/>
    <sheet name="Milestones" sheetId="12" state="visible" r:id="rId14"/>
    <sheet name="Risks" sheetId="13" state="visible" r:id="rId15"/>
    <sheet name="Content" sheetId="14" state="visible" r:id="rId16"/>
    <sheet name="Release" sheetId="15" state="visible" r:id="rId17"/>
    <sheet name="Revisions" sheetId="16" state="visible" r:id="rId18"/>
  </sheets>
  <definedNames>
    <definedName function="false" hidden="false" localSheetId="1" name="_xlnm.Print_Titles" vbProcedure="false">Assumptions!$1:$2</definedName>
    <definedName function="false" hidden="true" localSheetId="1" name="_xlnm._FilterDatabase" vbProcedure="false">Assumptions!$A$15:$C$21</definedName>
    <definedName function="false" hidden="false" localSheetId="6" name="_xlnm.Print_Titles" vbProcedure="false">Backlog!$1:$4</definedName>
    <definedName function="false" hidden="true" localSheetId="6" name="_xlnm._FilterDatabase" vbProcedure="false">Backlog!$A$4:$J$80</definedName>
    <definedName function="false" hidden="false" localSheetId="10" name="_xlnm.Print_Titles" vbProcedure="false">Breakeven!$1:$4</definedName>
    <definedName function="false" hidden="false" localSheetId="13" name="_xlnm.Print_Titles" vbProcedure="false">Content!$1:$4</definedName>
    <definedName function="false" hidden="false" localSheetId="0" name="_xlnm.Print_Area" vbProcedure="false">Dashboard!$A$1:$H$57</definedName>
    <definedName function="false" hidden="false" localSheetId="0" name="_xlnm.Print_Titles" vbProcedure="false">Dashboard!$1:$2</definedName>
    <definedName function="false" hidden="false" localSheetId="4" name="_xlnm.Print_Titles" vbProcedure="false">HoldCheck!$1:$4</definedName>
    <definedName function="false" hidden="false" localSheetId="11" name="_xlnm.Print_Titles" vbProcedure="false">Milestones!$1:$4</definedName>
    <definedName function="false" hidden="false" localSheetId="5" name="_xlnm.Print_Titles" vbProcedure="false">MiniGames!$1:$4</definedName>
    <definedName function="false" hidden="true" localSheetId="5" name="_xlnm._FilterDatabase" vbProcedure="false">MiniGames!$A$4:$H$14</definedName>
    <definedName function="false" hidden="false" localSheetId="2" name="_xlnm.Print_Titles" vbProcedure="false">Pillars!$1:$3</definedName>
    <definedName function="false" hidden="true" localSheetId="2" name="_xlnm._FilterDatabase" vbProcedure="false">Pillars!$A$4:$E$12</definedName>
    <definedName function="false" hidden="false" localSheetId="14" name="_xlnm.Print_Titles" vbProcedure="false">Release!$1:$4</definedName>
    <definedName function="false" hidden="false" localSheetId="15" name="_xlnm.Print_Titles" vbProcedure="false">Revisions!$1:$4</definedName>
    <definedName function="false" hidden="false" localSheetId="12" name="_xlnm.Print_Titles" vbProcedure="false">Risks!$1:$4</definedName>
    <definedName function="false" hidden="true" localSheetId="12" name="_xlnm._FilterDatabase" vbProcedure="false">Risks!$A$4:$J$20</definedName>
    <definedName function="false" hidden="false" localSheetId="7" name="_xlnm.Print_Titles" vbProcedure="false">Schedule!$1:$4</definedName>
    <definedName function="false" hidden="false" localSheetId="3" name="_xlnm.Print_Titles" vbProcedure="false">Systems!$1:$4</definedName>
    <definedName function="false" hidden="true" localSheetId="3" name="_xlnm._FilterDatabase" vbProcedure="false">Systems!$A$4:$F$18</definedName>
    <definedName function="false" hidden="false" localSheetId="9" name="_xlnm.Print_Titles" vbProcedure="false">TeamBudget!$1:$4</definedName>
    <definedName function="false" hidden="true" localSheetId="9" name="_xlnm._FilterDatabase" vbProcedure="false">TeamBudget!$A$4:$J$10</definedName>
    <definedName function="false" hidden="false" localSheetId="8" name="_xlnm.Print_Titles" vbProcedure="false">Timeline!$1:$4</definedName>
    <definedName function="false" hidden="false" name="FullyLoaded" vbProcedure="false">TeamBudget!$J$31</definedName>
    <definedName function="false" hidden="false" name="ShipDate" vbProcedure="false">Schedule!$B$12</definedName>
    <definedName function="false" hidden="false" name="StartDate" vbProcedure="false">Assumptions!$B$8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Source: plan authored 9 Oct 2026 from the Vinland systems and mini-game design.</t>
        </r>
      </text>
    </comment>
  </commentList>
</comments>
</file>

<file path=xl/sharedStrings.xml><?xml version="1.0" encoding="utf-8"?>
<sst xmlns="http://schemas.openxmlformats.org/spreadsheetml/2006/main" count="1973" uniqueCount="1247">
  <si>
    <t xml:space="preserve">VINLAND</t>
  </si>
  <si>
    <t xml:space="preserve">Development dashboard  ·  one page for scope, time, and cost</t>
  </si>
  <si>
    <t xml:space="preserve">Working title</t>
  </si>
  <si>
    <t xml:space="preserve">PHASE COST</t>
  </si>
  <si>
    <t xml:space="preserve">Production start</t>
  </si>
  <si>
    <t xml:space="preserve">Phase</t>
  </si>
  <si>
    <t xml:space="preserve">Weeks</t>
  </si>
  <si>
    <t xml:space="preserve">Labor</t>
  </si>
  <si>
    <t xml:space="preserve">Share</t>
  </si>
  <si>
    <t xml:space="preserve">Total weeks</t>
  </si>
  <si>
    <t xml:space="preserve">Target ship</t>
  </si>
  <si>
    <t xml:space="preserve">Labor cost</t>
  </si>
  <si>
    <t xml:space="preserve">Fully loaded cost</t>
  </si>
  <si>
    <t xml:space="preserve">Backlog items</t>
  </si>
  <si>
    <t xml:space="preserve">Must-ship items</t>
  </si>
  <si>
    <t xml:space="preserve">Break-even units</t>
  </si>
  <si>
    <t xml:space="preserve">Total</t>
  </si>
  <si>
    <t xml:space="preserve">WHAT THE GAME IS</t>
  </si>
  <si>
    <t xml:space="preserve">Oregon Trail structure on the Karlsefni voyage. Leave Greenland in a knarr with a hold that is already full. Keep latitude with a star ring and a sun board. Fish, hunt, forage, and build with the same gamepad grammar. Winter a camp. Trade milk and red cloth until fear caps. Send timber home. Bring a second ship back. A qualified win is the saga ending: leave rich. A full win is a manned camp that has sent two cargoes and received one relief ship.</t>
  </si>
  <si>
    <t xml:space="preserve">FIVE VERBS  ·  NOTHING IS A SIDE ACTIVITY</t>
  </si>
  <si>
    <t xml:space="preserve">Verb</t>
  </si>
  <si>
    <t xml:space="preserve">Mini-game</t>
  </si>
  <si>
    <t xml:space="preserve">Pays the hold</t>
  </si>
  <si>
    <t xml:space="preserve">Navigate</t>
  </si>
  <si>
    <t xml:space="preserve">Ring and sun board</t>
  </si>
  <si>
    <t xml:space="preserve">Refunds drift, saves food</t>
  </si>
  <si>
    <t xml:space="preserve">Fish</t>
  </si>
  <si>
    <t xml:space="preserve">Line and net</t>
  </si>
  <si>
    <t xml:space="preserve">Meals, then a food unit if dried</t>
  </si>
  <si>
    <t xml:space="preserve">Hunt</t>
  </si>
  <si>
    <t xml:space="preserve">One-shot stalk</t>
  </si>
  <si>
    <t xml:space="preserve">Meat, hides, a possible fear tick</t>
  </si>
  <si>
    <t xml:space="preserve">Forage</t>
  </si>
  <si>
    <t xml:space="preserve">Measured take</t>
  </si>
  <si>
    <t xml:space="preserve">Calories now, or a patch next season</t>
  </si>
  <si>
    <t xml:space="preserve">Build</t>
  </si>
  <si>
    <t xml:space="preserve">Joint and lift</t>
  </si>
  <si>
    <t xml:space="preserve">Byre, rack, slipway, the return itself</t>
  </si>
  <si>
    <t xml:space="preserve">SCOPE GATE</t>
  </si>
  <si>
    <t xml:space="preserve">Cut order if the vertical slice slips: Hóp second site, sealing, the Thorhall split, then the third summer. Never cut the star ring, the hold, the byre, the fear clock, or the return cargo. Those five are the game.</t>
  </si>
  <si>
    <t xml:space="preserve">HEALTH CHECKS  ·  READ AT EVERY GATE</t>
  </si>
  <si>
    <t xml:space="preserve">Check</t>
  </si>
  <si>
    <t xml:space="preserve">Value</t>
  </si>
  <si>
    <t xml:space="preserve">Target</t>
  </si>
  <si>
    <t xml:space="preserve">Status</t>
  </si>
  <si>
    <t xml:space="preserve">Source</t>
  </si>
  <si>
    <t xml:space="preserve">Backlog load, all owners</t>
  </si>
  <si>
    <t xml:space="preserve">60% or less</t>
  </si>
  <si>
    <t xml:space="preserve">Backlog capacity check</t>
  </si>
  <si>
    <t xml:space="preserve">Most loaded owner</t>
  </si>
  <si>
    <t xml:space="preserve">80% or less</t>
  </si>
  <si>
    <t xml:space="preserve">Spare hold at departure (units)</t>
  </si>
  <si>
    <t xml:space="preserve">0 to 1: full but legal</t>
  </si>
  <si>
    <t xml:space="preserve">HoldCheck</t>
  </si>
  <si>
    <t xml:space="preserve">Timber units that fit going home</t>
  </si>
  <si>
    <t xml:space="preserve">Planned crossing days</t>
  </si>
  <si>
    <t xml:space="preserve">Info</t>
  </si>
  <si>
    <t xml:space="preserve">Net per unit sold</t>
  </si>
  <si>
    <t xml:space="preserve">Breakeven</t>
  </si>
  <si>
    <t xml:space="preserve">Units to recover cash outlay</t>
  </si>
  <si>
    <t xml:space="preserve">Highest risk score</t>
  </si>
  <si>
    <t xml:space="preserve">Below 15</t>
  </si>
  <si>
    <t xml:space="preserve">Risks</t>
  </si>
  <si>
    <t xml:space="preserve">Top risk</t>
  </si>
  <si>
    <t xml:space="preserve">Owner acting on it</t>
  </si>
  <si>
    <t xml:space="preserve">Risks scored 12+ not closed</t>
  </si>
  <si>
    <t xml:space="preserve">0 by Beta</t>
  </si>
  <si>
    <t xml:space="preserve">Backlog items done</t>
  </si>
  <si>
    <t xml:space="preserve">Tracks the phase</t>
  </si>
  <si>
    <t xml:space="preserve">Backlog status</t>
  </si>
  <si>
    <t xml:space="preserve">Must-ship days done</t>
  </si>
  <si>
    <t xml:space="preserve">100% at G3</t>
  </si>
  <si>
    <t xml:space="preserve">Gates passed</t>
  </si>
  <si>
    <t xml:space="preserve">One per phase</t>
  </si>
  <si>
    <t xml:space="preserve">Milestones status</t>
  </si>
  <si>
    <t xml:space="preserve">Assumptions  ·  edit the yellow cells; every other sheet recalculates from here</t>
  </si>
  <si>
    <t xml:space="preserve">PROJECT</t>
  </si>
  <si>
    <t xml:space="preserve">Vinland</t>
  </si>
  <si>
    <t xml:space="preserve">Studio / lead</t>
  </si>
  <si>
    <t xml:space="preserve">Independent  ·  Nick Doney Sr. (nickdoneysr)</t>
  </si>
  <si>
    <t xml:space="preserve">Plan date</t>
  </si>
  <si>
    <t xml:space="preserve">Revised 16 Oct 2026</t>
  </si>
  <si>
    <t xml:space="preserve">Every date in the workbook flows from this cell</t>
  </si>
  <si>
    <t xml:space="preserve">Target platform</t>
  </si>
  <si>
    <t xml:space="preserve">PC, gamepad-first</t>
  </si>
  <si>
    <t xml:space="preserve">Steam Deck Verified is the stretch target</t>
  </si>
  <si>
    <t xml:space="preserve">Engine assumption</t>
  </si>
  <si>
    <t xml:space="preserve">Godot 4.3, 2D painted</t>
  </si>
  <si>
    <t xml:space="preserve">Decided 17 Oct 2026: one project exports PC (Steam) and HTML5 (itch.io)</t>
  </si>
  <si>
    <t xml:space="preserve">Build scope</t>
  </si>
  <si>
    <t xml:space="preserve">Single-player, 6 to 8 hours</t>
  </si>
  <si>
    <t xml:space="preserve">One run is three summers, roughly three evenings</t>
  </si>
  <si>
    <t xml:space="preserve">Currency</t>
  </si>
  <si>
    <t xml:space="preserve">USD</t>
  </si>
  <si>
    <t xml:space="preserve">PHASE LENGTHS (WEEKS)</t>
  </si>
  <si>
    <t xml:space="preserve">Notes</t>
  </si>
  <si>
    <t xml:space="preserve">Preproduction</t>
  </si>
  <si>
    <t xml:space="preserve">Pillar lock, paper prototype of the ring and the hold, vertical-slice scope</t>
  </si>
  <si>
    <t xml:space="preserve">Vertical slice</t>
  </si>
  <si>
    <t xml:space="preserve">One sea leg, star ring, line fishing, one camp day, one joint</t>
  </si>
  <si>
    <t xml:space="preserve">Production</t>
  </si>
  <si>
    <t xml:space="preserve">All legs, all five verbs, settlement year, trade, return voyage</t>
  </si>
  <si>
    <t xml:space="preserve">Alpha</t>
  </si>
  <si>
    <t xml:space="preserve">Feature complete, economy pass, first full three-summer run</t>
  </si>
  <si>
    <t xml:space="preserve">Beta</t>
  </si>
  <si>
    <t xml:space="preserve">Difficulty, haptics, accessibility, content lock</t>
  </si>
  <si>
    <t xml:space="preserve">Polish and ship</t>
  </si>
  <si>
    <t xml:space="preserve">Store page, trailer, day-one patch buffer</t>
  </si>
  <si>
    <t xml:space="preserve">Total weeks  ·  target ship</t>
  </si>
  <si>
    <t xml:space="preserve">RATES AND OVERHEAD</t>
  </si>
  <si>
    <t xml:space="preserve">Item</t>
  </si>
  <si>
    <t xml:space="preserve">Unit / note</t>
  </si>
  <si>
    <t xml:space="preserve">Design week rate</t>
  </si>
  <si>
    <t xml:space="preserve">USD per person-week, blended</t>
  </si>
  <si>
    <t xml:space="preserve">Engineering week rate</t>
  </si>
  <si>
    <t xml:space="preserve">Art week rate</t>
  </si>
  <si>
    <t xml:space="preserve">Audio week rate</t>
  </si>
  <si>
    <t xml:space="preserve">USD per person-week, contractor</t>
  </si>
  <si>
    <t xml:space="preserve">QA week rate</t>
  </si>
  <si>
    <t xml:space="preserve">USD per person-week</t>
  </si>
  <si>
    <t xml:space="preserve">Production week rate</t>
  </si>
  <si>
    <t xml:space="preserve">Overhead on labor</t>
  </si>
  <si>
    <t xml:space="preserve">Tools, engine seats, cloud builds</t>
  </si>
  <si>
    <t xml:space="preserve">Contingency</t>
  </si>
  <si>
    <t xml:space="preserve">Applied after overhead</t>
  </si>
  <si>
    <t xml:space="preserve">Outsource art budget</t>
  </si>
  <si>
    <t xml:space="preserve">USD, ships, UI frames, sky plates</t>
  </si>
  <si>
    <t xml:space="preserve">Music and foley budget</t>
  </si>
  <si>
    <t xml:space="preserve">USD, beyond staff audio weeks</t>
  </si>
  <si>
    <t xml:space="preserve">Store, trailer, legal</t>
  </si>
  <si>
    <t xml:space="preserve">Playtest honoraria</t>
  </si>
  <si>
    <t xml:space="preserve">ECONOMY TUNING KNOBS (DESIGN INPUTS)</t>
  </si>
  <si>
    <t xml:space="preserve">Knob</t>
  </si>
  <si>
    <t xml:space="preserve">Used by</t>
  </si>
  <si>
    <t xml:space="preserve">Knarr cargo units</t>
  </si>
  <si>
    <t xml:space="preserve">Hull model</t>
  </si>
  <si>
    <t xml:space="preserve">Party size, default</t>
  </si>
  <si>
    <t xml:space="preserve">Starting load</t>
  </si>
  <si>
    <t xml:space="preserve">Food unit feeds (people x days)</t>
  </si>
  <si>
    <t xml:space="preserve">12 people x 14 days</t>
  </si>
  <si>
    <t xml:space="preserve">Drink unit covers (people x days)</t>
  </si>
  <si>
    <t xml:space="preserve">12 people x 10 days</t>
  </si>
  <si>
    <t xml:space="preserve">Good day's sail (nm)</t>
  </si>
  <si>
    <t xml:space="preserve">Six watches</t>
  </si>
  <si>
    <t xml:space="preserve">Open-water leg (nm)</t>
  </si>
  <si>
    <t xml:space="preserve">Labrador Sea</t>
  </si>
  <si>
    <t xml:space="preserve">Full game length (summers)</t>
  </si>
  <si>
    <t xml:space="preserve">Win condition window</t>
  </si>
  <si>
    <t xml:space="preserve">Winters to survive</t>
  </si>
  <si>
    <t xml:space="preserve">Colony clock</t>
  </si>
  <si>
    <t xml:space="preserve">Timber units to open a return</t>
  </si>
  <si>
    <t xml:space="preserve">Route unlock</t>
  </si>
  <si>
    <t xml:space="preserve">Fear cap (trade breaks)</t>
  </si>
  <si>
    <t xml:space="preserve">Skrælingar clock</t>
  </si>
  <si>
    <t xml:space="preserve">HOLD LOADING KNOBS (FEED THE HOLDCHECK SHEET)</t>
  </si>
  <si>
    <t xml:space="preserve">Cargo units per person</t>
  </si>
  <si>
    <t xml:space="preserve">HoldCheck  ·  same rule as Systems "Cargo hold"</t>
  </si>
  <si>
    <t xml:space="preserve">Cargo units per head of cattle</t>
  </si>
  <si>
    <t xml:space="preserve">HoldCheck  ·  a bull counts as cattle</t>
  </si>
  <si>
    <t xml:space="preserve">Cargo units per sheep or goat</t>
  </si>
  <si>
    <t xml:space="preserve">Cattle at departure (bull included)</t>
  </si>
  <si>
    <t xml:space="preserve">Default load. The bull is a trade good and a risk</t>
  </si>
  <si>
    <t xml:space="preserve">Sheep and goats at departure</t>
  </si>
  <si>
    <t xml:space="preserve">Default load</t>
  </si>
  <si>
    <t xml:space="preserve">Fodder unit covers (cattle-days)</t>
  </si>
  <si>
    <t xml:space="preserve">Animal ration at sea</t>
  </si>
  <si>
    <t xml:space="preserve">Sheep fodder as share of a cow</t>
  </si>
  <si>
    <t xml:space="preserve">A sheep eats a quarter of a cow</t>
  </si>
  <si>
    <t xml:space="preserve">Trade goods carried (units)</t>
  </si>
  <si>
    <t xml:space="preserve">Red cloth and iron</t>
  </si>
  <si>
    <t xml:space="preserve">Outbound route distance (nm)</t>
  </si>
  <si>
    <t xml:space="preserve">Design estimate: Eriksfjord to the Strait via Helluland and Markland</t>
  </si>
  <si>
    <t xml:space="preserve">Weather and lost-day factor</t>
  </si>
  <si>
    <t xml:space="preserve">Multiplies clean sailing days</t>
  </si>
  <si>
    <t xml:space="preserve">Crew sailing the return</t>
  </si>
  <si>
    <t xml:space="preserve">The rest winter the camp</t>
  </si>
  <si>
    <t xml:space="preserve">Cargo units per timber unit</t>
  </si>
  <si>
    <t xml:space="preserve">Return cargo</t>
  </si>
  <si>
    <t xml:space="preserve">RELEASE AND REVENUE (FEEDS BREAKEVEN)</t>
  </si>
  <si>
    <t xml:space="preserve">List price</t>
  </si>
  <si>
    <t xml:space="preserve">USD, premium single purchase (Release: price stance)</t>
  </si>
  <si>
    <t xml:space="preserve">Realized price factor</t>
  </si>
  <si>
    <t xml:space="preserve">Planning assumption: launch discount, regional pricing, sales-tax netting</t>
  </si>
  <si>
    <t xml:space="preserve">Refund rate</t>
  </si>
  <si>
    <t xml:space="preserve">Planning assumption</t>
  </si>
  <si>
    <t xml:space="preserve">Steam revenue share</t>
  </si>
  <si>
    <t xml:space="preserve">Steam standard tier (first $10M gross per title)</t>
  </si>
  <si>
    <t xml:space="preserve">itch.io revenue share</t>
  </si>
  <si>
    <t xml:space="preserve">itch.io default under open revenue sharing; the creator can change it</t>
  </si>
  <si>
    <t xml:space="preserve">Share of units sold on itch.io</t>
  </si>
  <si>
    <t xml:space="preserve">Planning assumption; Steam is the primary store</t>
  </si>
  <si>
    <t xml:space="preserve">Steam Direct fee</t>
  </si>
  <si>
    <t xml:space="preserve">USD per app, recoupable once the app earns $1,000 gross</t>
  </si>
  <si>
    <t xml:space="preserve">Cultural and historical consultant</t>
  </si>
  <si>
    <t xml:space="preserve">USD, sensitivity read of the market, visitors, and saga text (Risk R11)</t>
  </si>
  <si>
    <t xml:space="preserve">Sales scenario 1 (units)</t>
  </si>
  <si>
    <t xml:space="preserve">Breakeven scenario table</t>
  </si>
  <si>
    <t xml:space="preserve">Sales scenario 2 (units)</t>
  </si>
  <si>
    <t xml:space="preserve">Sales scenario 3 (units)</t>
  </si>
  <si>
    <t xml:space="preserve">Sales scenario 4 (units)</t>
  </si>
  <si>
    <t xml:space="preserve">Sales scenario 5 (units)</t>
  </si>
  <si>
    <t xml:space="preserve">HOW TO READ THIS WORKBOOK</t>
  </si>
  <si>
    <t xml:space="preserve">Yellow cells with blue text are the only inputs. Change a rate or a phase length and the budget and the ship date move.</t>
  </si>
  <si>
    <t xml:space="preserve">Green text is a value pulled from another sheet. Black text is a formula on this sheet.</t>
  </si>
  <si>
    <t xml:space="preserve">Dashboard is the one-page read, with health checks at the bottom. Schedule owns dates. TeamBudget owns cost. Backlog owns scope. Breakeven owns revenue.</t>
  </si>
  <si>
    <t xml:space="preserve">Mini-games and Systems are the design contract the backlog implements. Do not cut a verb without cutting its backlog rows.</t>
  </si>
  <si>
    <t xml:space="preserve">HoldCheck proves the default departure load fits the knarr and that four timber units fit going home. Tune the hold knobs above, not the sheet.</t>
  </si>
  <si>
    <t xml:space="preserve">Timeline draws the Schedule week by week. Add weeks on this sheet and the bars move.</t>
  </si>
  <si>
    <t xml:space="preserve">Status columns on Backlog, Milestones, and Risks are the only inputs outside this sheet. The Dashboard health checks read them.</t>
  </si>
  <si>
    <t xml:space="preserve">Revenue figures are planning assumptions, not forecasts. Store shares are the published defaults; check them again before launch.</t>
  </si>
  <si>
    <t xml:space="preserve">Historical spine: Karlsefni's colony attempt, not Leif's scout. Timber home and a relief ship are the win.</t>
  </si>
  <si>
    <t xml:space="preserve">VOYAGE TUNING (FEEDS THE GAME BUILD THROUGH data/knobs.json)</t>
  </si>
  <si>
    <t xml:space="preserve">Departure day of year</t>
  </si>
  <si>
    <t xml:space="preserve">Season clock: 25 May. Leave after the ice.</t>
  </si>
  <si>
    <t xml:space="preserve">Last safe day at sea (day of year)</t>
  </si>
  <si>
    <t xml:space="preserve">Season clock: 30 Sep. Still at sea in October is a loss.</t>
  </si>
  <si>
    <t xml:space="preserve">Daily drift with no fix (nm)</t>
  </si>
  <si>
    <t xml:space="preserve">Drift: added to the leg each day; partial halves, clean refunds</t>
  </si>
  <si>
    <t xml:space="preserve">Pace multiplier: crack on</t>
  </si>
  <si>
    <t xml:space="preserve">Pace</t>
  </si>
  <si>
    <t xml:space="preserve">Pace multiplier: easy</t>
  </si>
  <si>
    <t xml:space="preserve">Pace multiplier: heave to</t>
  </si>
  <si>
    <t xml:space="preserve">Pace: the storm choice</t>
  </si>
  <si>
    <t xml:space="preserve">Sail strain per watch cracking on in wind</t>
  </si>
  <si>
    <t xml:space="preserve">Ship condition</t>
  </si>
  <si>
    <t xml:space="preserve">Sprung strake chance per storm watch running</t>
  </si>
  <si>
    <t xml:space="preserve">Sprung strake chance per storm watch hove to</t>
  </si>
  <si>
    <t xml:space="preserve">Cask breach chance per rough day</t>
  </si>
  <si>
    <t xml:space="preserve">Drink</t>
  </si>
  <si>
    <t xml:space="preserve">Sickness chance per person-day, full ration</t>
  </si>
  <si>
    <t xml:space="preserve">Sickness</t>
  </si>
  <si>
    <t xml:space="preserve">Sickness chance per person-day, half ration</t>
  </si>
  <si>
    <t xml:space="preserve">Sickness chance per person-day, bare bones</t>
  </si>
  <si>
    <t xml:space="preserve">Death chance per sick person-day when starving</t>
  </si>
  <si>
    <t xml:space="preserve">Days a sick person stays sick</t>
  </si>
  <si>
    <t xml:space="preserve">Fodderless days before an animal dies</t>
  </si>
  <si>
    <t xml:space="preserve">Livestock</t>
  </si>
  <si>
    <t xml:space="preserve">Hand-line catch per fishing day (person-days)</t>
  </si>
  <si>
    <t xml:space="preserve">Fishing: three quarters of a day's full ration. Placeholder until the hand-line mini-game (F05)</t>
  </si>
  <si>
    <t xml:space="preserve">Morale change per day: full / half / bare rations</t>
  </si>
  <si>
    <t xml:space="preserve">1 / -2 / -5</t>
  </si>
  <si>
    <t xml:space="preserve">Morale (read as three numbers)</t>
  </si>
  <si>
    <t xml:space="preserve">Morale change: storm day</t>
  </si>
  <si>
    <t xml:space="preserve">Morale</t>
  </si>
  <si>
    <t xml:space="preserve">Morale change: a death</t>
  </si>
  <si>
    <t xml:space="preserve">Morale change: landfall</t>
  </si>
  <si>
    <t xml:space="preserve">Morale change: clean fix</t>
  </si>
  <si>
    <t xml:space="preserve">Starvation sickness multiplier</t>
  </si>
  <si>
    <t xml:space="preserve">Sickness: chance multiplier on days with no food</t>
  </si>
  <si>
    <t xml:space="preserve">Thirst sickness multiplier</t>
  </si>
  <si>
    <t xml:space="preserve">Sickness: chance multiplier on days with no drink</t>
  </si>
  <si>
    <t xml:space="preserve">Hooks carried</t>
  </si>
  <si>
    <t xml:space="preserve">Hand line: a snapped or cut line costs a hook</t>
  </si>
  <si>
    <t xml:space="preserve">CAMP TUNING (FEEDS THE GAME BUILD THROUGH data/knobs.json)</t>
  </si>
  <si>
    <t xml:space="preserve">Work to raise a booth (builder-days)</t>
  </si>
  <si>
    <t xml:space="preserve">Build: a turf-and-timber booth</t>
  </si>
  <si>
    <t xml:space="preserve">People sheltered per booth</t>
  </si>
  <si>
    <t xml:space="preserve">Shelter: the unsheltered sicken faster</t>
  </si>
  <si>
    <t xml:space="preserve">Your seated joint counts as (builder-days)</t>
  </si>
  <si>
    <t xml:space="preserve">Build: the joint mini-game is the skilled work that holds the frame</t>
  </si>
  <si>
    <t xml:space="preserve">Shore fishing per worker-day (person-days)</t>
  </si>
  <si>
    <t xml:space="preserve">Fish: crew working without you</t>
  </si>
  <si>
    <t xml:space="preserve">Forage per worker-day (person-days)</t>
  </si>
  <si>
    <t xml:space="preserve">Forage: placeholder until the forage mini-game (F13)</t>
  </si>
  <si>
    <t xml:space="preserve">Timber felled per worker-day (units)</t>
  </si>
  <si>
    <t xml:space="preserve">Felled, trimmed and hauled to the slip; 4 units open the return</t>
  </si>
  <si>
    <t xml:space="preserve">Hay cut per worker-day (units)</t>
  </si>
  <si>
    <t xml:space="preserve">Hay, 1 August to mid-October</t>
  </si>
  <si>
    <t xml:space="preserve">First hay day (day of year)</t>
  </si>
  <si>
    <t xml:space="preserve">Hay: 1 August</t>
  </si>
  <si>
    <t xml:space="preserve">Milk per fed cow per day (person-days)</t>
  </si>
  <si>
    <t xml:space="preserve">Livestock: summer grazing feeds them</t>
  </si>
  <si>
    <t xml:space="preserve">Unsheltered sickness multiplier</t>
  </si>
  <si>
    <t xml:space="preserve">Shelter</t>
  </si>
  <si>
    <t xml:space="preserve">Tending shortens sickness by (days per tender-day)</t>
  </si>
  <si>
    <t xml:space="preserve">Tend the sick</t>
  </si>
  <si>
    <t xml:space="preserve">Camp build ends (day of year, second year)</t>
  </si>
  <si>
    <t xml:space="preserve">This build ends at the second spring; the return voyage comes in Alpha</t>
  </si>
  <si>
    <t xml:space="preserve">Booth plots at the camp</t>
  </si>
  <si>
    <t xml:space="preserve">Build queue: booths first, then the longhouse</t>
  </si>
  <si>
    <t xml:space="preserve">Work to raise the longhouse (builder-days)</t>
  </si>
  <si>
    <t xml:space="preserve">Build queue: the hall that gets the camp through winter (F17)</t>
  </si>
  <si>
    <t xml:space="preserve">First snow (day of year)</t>
  </si>
  <si>
    <t xml:space="preserve">Winter: 1 November. Forage closes, fishing and building slow</t>
  </si>
  <si>
    <t xml:space="preserve">Spring thaw (day of year)</t>
  </si>
  <si>
    <t xml:space="preserve">Winter ends: 20 April</t>
  </si>
  <si>
    <t xml:space="preserve">Forage and hay season ends (day of year)</t>
  </si>
  <si>
    <t xml:space="preserve">Mid-October</t>
  </si>
  <si>
    <t xml:space="preserve">Drying per worker-day (person-days)</t>
  </si>
  <si>
    <t xml:space="preserve">Smoke rack: surplus fresh fish becomes stores (F15)</t>
  </si>
  <si>
    <t xml:space="preserve">Dried fish yield</t>
  </si>
  <si>
    <t xml:space="preserve">Share of person-days kept when fish is dried</t>
  </si>
  <si>
    <t xml:space="preserve">Winter shore fishing factor</t>
  </si>
  <si>
    <t xml:space="preserve">Ice and short days</t>
  </si>
  <si>
    <t xml:space="preserve">Winter building factor</t>
  </si>
  <si>
    <t xml:space="preserve">Frozen ground, short days</t>
  </si>
  <si>
    <t xml:space="preserve">Winter milk factor</t>
  </si>
  <si>
    <t xml:space="preserve">Cows dry off in winter</t>
  </si>
  <si>
    <t xml:space="preserve">Winter sickness factor</t>
  </si>
  <si>
    <t xml:space="preserve">Cold</t>
  </si>
  <si>
    <t xml:space="preserve">Booth shelter in winter (share)</t>
  </si>
  <si>
    <t xml:space="preserve">Booths are summer shelter; the longhouse holds everyone</t>
  </si>
  <si>
    <t xml:space="preserve">Unsheltered winter sickness multiplier</t>
  </si>
  <si>
    <t xml:space="preserve">Winter exposure</t>
  </si>
  <si>
    <t xml:space="preserve">Death chance per exposed sick person-day in winter</t>
  </si>
  <si>
    <t xml:space="preserve">Cold kills the sick without a roof</t>
  </si>
  <si>
    <t xml:space="preserve">Hay per head of cattle per winter day (units)</t>
  </si>
  <si>
    <t xml:space="preserve">A sheep eats the sheep fodder share of this</t>
  </si>
  <si>
    <t xml:space="preserve">Hay needed without a byre (multiplier)</t>
  </si>
  <si>
    <t xml:space="preserve">Cattle out in the cold eat more</t>
  </si>
  <si>
    <t xml:space="preserve">Work to raise the byre (builder-days)</t>
  </si>
  <si>
    <t xml:space="preserve">Build queue after the longhouse (F17)</t>
  </si>
  <si>
    <t xml:space="preserve">Hunt kill chance per hunter-day</t>
  </si>
  <si>
    <t xml:space="preserve">Hunt: about the yield of a fisher, but swingier, and it brings hides</t>
  </si>
  <si>
    <t xml:space="preserve">Meat per kill (person-days)</t>
  </si>
  <si>
    <t xml:space="preserve">Hunt: one caribou; spoils like fish unless dried</t>
  </si>
  <si>
    <t xml:space="preserve">Far grounds kill bonus</t>
  </si>
  <si>
    <t xml:space="preserve">Hunt: more caribou away from the camp</t>
  </si>
  <si>
    <t xml:space="preserve">Far grounds fear chance per hunter-day</t>
  </si>
  <si>
    <t xml:space="preserve">Goodwill / fear: ranging far is seen (F19)</t>
  </si>
  <si>
    <t xml:space="preserve">Winter hunting factor</t>
  </si>
  <si>
    <t xml:space="preserve">Hunt: deep snow</t>
  </si>
  <si>
    <t xml:space="preserve">Stripped patch damage carried to the season (share)</t>
  </si>
  <si>
    <t xml:space="preserve">Forage: greedy picking thins every patch until spring</t>
  </si>
  <si>
    <t xml:space="preserve">MARKET TUNING (GOODWILL, FEAR, TRADE)</t>
  </si>
  <si>
    <t xml:space="preserve">First market (days after landing)</t>
  </si>
  <si>
    <t xml:space="preserve">Visitors come once the camp is settled</t>
  </si>
  <si>
    <t xml:space="preserve">Market chance per day</t>
  </si>
  <si>
    <t xml:space="preserve">Summer and autumn only</t>
  </si>
  <si>
    <t xml:space="preserve">Market chance per point of goodwill</t>
  </si>
  <si>
    <t xml:space="preserve">Goodwill brings them back sooner</t>
  </si>
  <si>
    <t xml:space="preserve">Goodwill cap</t>
  </si>
  <si>
    <t xml:space="preserve">Goodwill clock</t>
  </si>
  <si>
    <t xml:space="preserve">Pelts the visitors bring</t>
  </si>
  <si>
    <t xml:space="preserve">3 to 8</t>
  </si>
  <si>
    <t xml:space="preserve">Range per market</t>
  </si>
  <si>
    <t xml:space="preserve">Trade value for one pelt</t>
  </si>
  <si>
    <t xml:space="preserve">Before goodwill</t>
  </si>
  <si>
    <t xml:space="preserve">Price discount per point of goodwill</t>
  </si>
  <si>
    <t xml:space="preserve">Fair dealing makes trade easier</t>
  </si>
  <si>
    <t xml:space="preserve">Red cloth strips per trade unit</t>
  </si>
  <si>
    <t xml:space="preserve">One bolt of madder-red cloth</t>
  </si>
  <si>
    <t xml:space="preserve">Iron blades per trade unit</t>
  </si>
  <si>
    <t xml:space="preserve">One trade unit of iron</t>
  </si>
  <si>
    <t xml:space="preserve">Milk per trade value (person-days)</t>
  </si>
  <si>
    <t xml:space="preserve">Milk is the peace (Pillar P6)</t>
  </si>
  <si>
    <t xml:space="preserve">Weapon request chance per market</t>
  </si>
  <si>
    <t xml:space="preserve">Once goodwill reaches 2</t>
  </si>
  <si>
    <t xml:space="preserve">Weapon sale pelt multiplier</t>
  </si>
  <si>
    <t xml:space="preserve">The temptation</t>
  </si>
  <si>
    <t xml:space="preserve">Fear from a weapon sale</t>
  </si>
  <si>
    <t xml:space="preserve">A weapon sale caps fear (Pillar P6)</t>
  </si>
  <si>
    <t xml:space="preserve">Bull breaks loose chance (unpenned, no byre)</t>
  </si>
  <si>
    <t xml:space="preserve">The saga bull (F21)</t>
  </si>
  <si>
    <t xml:space="preserve">Fear from the bull</t>
  </si>
  <si>
    <t xml:space="preserve">Visitors scatter</t>
  </si>
  <si>
    <t xml:space="preserve">Fear eased per quiet week</t>
  </si>
  <si>
    <t xml:space="preserve">Fear fades slowly when nothing happens</t>
  </si>
  <si>
    <t xml:space="preserve">Raid chance per week at the fear cap</t>
  </si>
  <si>
    <t xml:space="preserve">Trade breaks; the herd and the crew are at risk</t>
  </si>
  <si>
    <t xml:space="preserve">Pelts per cargo unit</t>
  </si>
  <si>
    <t xml:space="preserve">Pillars, fantasy, clocks, and the win</t>
  </si>
  <si>
    <t xml:space="preserve">ID</t>
  </si>
  <si>
    <t xml:space="preserve">Pillar</t>
  </si>
  <si>
    <t xml:space="preserve">Player promise</t>
  </si>
  <si>
    <t xml:space="preserve">Fails if</t>
  </si>
  <si>
    <t xml:space="preserve">Design owner</t>
  </si>
  <si>
    <t xml:space="preserve">P1</t>
  </si>
  <si>
    <t xml:space="preserve">The hold is the game</t>
  </si>
  <si>
    <t xml:space="preserve">Every fun verb spends cargo, a watch, or a body.</t>
  </si>
  <si>
    <t xml:space="preserve">A mini-game pays out points that do not fit in the hull.</t>
  </si>
  <si>
    <t xml:space="preserve">Design</t>
  </si>
  <si>
    <t xml:space="preserve">P2</t>
  </si>
  <si>
    <t xml:space="preserve">Latitude, not a chart</t>
  </si>
  <si>
    <t xml:space="preserve">Clear nights buy a shorter leg. Fog is missing information, not a blank screen.</t>
  </si>
  <si>
    <t xml:space="preserve">The player can win by confirming a menu.</t>
  </si>
  <si>
    <t xml:space="preserve">P3</t>
  </si>
  <si>
    <t xml:space="preserve">One controller grammar</t>
  </si>
  <si>
    <t xml:space="preserve">Left stick gross, right stick fine, triggers force, B is the safe drop.</t>
  </si>
  <si>
    <t xml:space="preserve">A verb invents its own buttons.</t>
  </si>
  <si>
    <t xml:space="preserve">P4</t>
  </si>
  <si>
    <t xml:space="preserve">Season is a clock</t>
  </si>
  <si>
    <t xml:space="preserve">Leave after the ice. October at sea is a loss. Winter is survival, not travel.</t>
  </si>
  <si>
    <t xml:space="preserve">The player can sail whenever.</t>
  </si>
  <si>
    <t xml:space="preserve">P5</t>
  </si>
  <si>
    <t xml:space="preserve">The colony is the point</t>
  </si>
  <si>
    <t xml:space="preserve">Karlsefni, not Leif. Livestock, a birth, a byre, a market.</t>
  </si>
  <si>
    <t xml:space="preserve">The game ends at landfall.</t>
  </si>
  <si>
    <t xml:space="preserve">P6</t>
  </si>
  <si>
    <t xml:space="preserve">Trade until it doesn't</t>
  </si>
  <si>
    <t xml:space="preserve">Milk and red cloth buy peace. A weapon sale or a killing caps fear.</t>
  </si>
  <si>
    <t xml:space="preserve">Natives are a faction toggle.</t>
  </si>
  <si>
    <t xml:space="preserve">P7</t>
  </si>
  <si>
    <t xml:space="preserve">The return is the win</t>
  </si>
  <si>
    <t xml:space="preserve">Timber home funds the next hull. Two cargoes and one relief ship is the full win.</t>
  </si>
  <si>
    <t xml:space="preserve">Score is distance sailed.</t>
  </si>
  <si>
    <t xml:space="preserve">P8</t>
  </si>
  <si>
    <t xml:space="preserve">Qualified saga ending</t>
  </si>
  <si>
    <t xml:space="preserve">Load everyone and leave rich is allowed, and scored below a living camp.</t>
  </si>
  <si>
    <t xml:space="preserve">The game scolds the historical ending.</t>
  </si>
  <si>
    <t xml:space="preserve">THREE CLOCKS</t>
  </si>
  <si>
    <t xml:space="preserve">Clock</t>
  </si>
  <si>
    <t xml:space="preserve">Ticks when</t>
  </si>
  <si>
    <t xml:space="preserve">Player lever</t>
  </si>
  <si>
    <t xml:space="preserve">Loss</t>
  </si>
  <si>
    <t xml:space="preserve">Season</t>
  </si>
  <si>
    <t xml:space="preserve">Each watch and each camp day</t>
  </si>
  <si>
    <t xml:space="preserve">Pace: crack on, easy, heave to</t>
  </si>
  <si>
    <t xml:space="preserve">Still at sea in October</t>
  </si>
  <si>
    <t xml:space="preserve">Late May departure, September last open water</t>
  </si>
  <si>
    <t xml:space="preserve">Ship</t>
  </si>
  <si>
    <t xml:space="preserve">Weather checks, sail strain, sprung strake</t>
  </si>
  <si>
    <t xml:space="preserve">Heave to versus run</t>
  </si>
  <si>
    <t xml:space="preserve">Hull lost with no camp behind it</t>
  </si>
  <si>
    <t xml:space="preserve">A knarr does not fight a storm</t>
  </si>
  <si>
    <t xml:space="preserve">Colony</t>
  </si>
  <si>
    <t xml:space="preserve">Rations, hay, fear, relief</t>
  </si>
  <si>
    <t xml:space="preserve">Byre, rack, market, who sails home</t>
  </si>
  <si>
    <t xml:space="preserve">Winter starve, or fear capped and both hulls gone</t>
  </si>
  <si>
    <t xml:space="preserve">A camp that only feeds itself dies when the ship does not return</t>
  </si>
  <si>
    <t xml:space="preserve">OUTFITS</t>
  </si>
  <si>
    <t xml:space="preserve">Outfit</t>
  </si>
  <si>
    <t xml:space="preserve">Silver</t>
  </si>
  <si>
    <t xml:space="preserve">Strength</t>
  </si>
  <si>
    <t xml:space="preserve">Weakness</t>
  </si>
  <si>
    <t xml:space="preserve">Starting feel</t>
  </si>
  <si>
    <t xml:space="preserve">Farm household</t>
  </si>
  <si>
    <t xml:space="preserve">Low</t>
  </si>
  <si>
    <t xml:space="preserve">Livestock, cheese, fodder skill</t>
  </si>
  <si>
    <t xml:space="preserve">Small cargo, few fighters</t>
  </si>
  <si>
    <t xml:space="preserve">The byre is easier, the hold is tighter</t>
  </si>
  <si>
    <t xml:space="preserve">Merchant</t>
  </si>
  <si>
    <t xml:space="preserve">High</t>
  </si>
  <si>
    <t xml:space="preserve">Red cloth, iron, a second hull if paid</t>
  </si>
  <si>
    <t xml:space="preserve">Animals eat the margin</t>
  </si>
  <si>
    <t xml:space="preserve">Karlsefni. Trade-rich, forage-poor</t>
  </si>
  <si>
    <t xml:space="preserve">Hunter-boat</t>
  </si>
  <si>
    <t xml:space="preserve">Medium</t>
  </si>
  <si>
    <t xml:space="preserve">Fishing, sealing, Markland pilotage</t>
  </si>
  <si>
    <t xml:space="preserve">Weak build, weak diplomacy</t>
  </si>
  <si>
    <t xml:space="preserve">Better ring, worse joint</t>
  </si>
  <si>
    <t xml:space="preserve">Shipwright's kin</t>
  </si>
  <si>
    <t xml:space="preserve">Hull repair, spare sail, timber grade</t>
  </si>
  <si>
    <t xml:space="preserve">Poor foragers</t>
  </si>
  <si>
    <t xml:space="preserve">The slipway is the fantasy</t>
  </si>
  <si>
    <t xml:space="preserve">Systems contract  ·  the economy the mini-games pay into</t>
  </si>
  <si>
    <t xml:space="preserve">System</t>
  </si>
  <si>
    <t xml:space="preserve">Rule</t>
  </si>
  <si>
    <t xml:space="preserve">Input knob</t>
  </si>
  <si>
    <t xml:space="preserve">Knob cell</t>
  </si>
  <si>
    <t xml:space="preserve">Output</t>
  </si>
  <si>
    <t xml:space="preserve">Backlog</t>
  </si>
  <si>
    <t xml:space="preserve">Cargo hold</t>
  </si>
  <si>
    <t xml:space="preserve">24 units. People 0.4, cow 1.5, sheep 0.4. Timber only fits if food was eaten.</t>
  </si>
  <si>
    <t xml:space="preserve">What can sail</t>
  </si>
  <si>
    <t xml:space="preserve">F01</t>
  </si>
  <si>
    <t xml:space="preserve">Rations</t>
  </si>
  <si>
    <t xml:space="preserve">Full, half, bare bones. Animals have their own ration. Starve the bull, lose the trade good.</t>
  </si>
  <si>
    <t xml:space="preserve">Party size</t>
  </si>
  <si>
    <t xml:space="preserve">Morale, sickness, milk</t>
  </si>
  <si>
    <t xml:space="preserve">F01, F46</t>
  </si>
  <si>
    <t xml:space="preserve">Water spoils if a cask is breached. Sour whey keeps.</t>
  </si>
  <si>
    <t xml:space="preserve">Drink coverage</t>
  </si>
  <si>
    <t xml:space="preserve">Sea endurance</t>
  </si>
  <si>
    <t xml:space="preserve">F37</t>
  </si>
  <si>
    <t xml:space="preserve">Legs</t>
  </si>
  <si>
    <t xml:space="preserve">Eriksfjord, Labrador Sea, Helluland, Markland, Furðustrandir, Strait. Hóp is a second summer push.</t>
  </si>
  <si>
    <t xml:space="preserve">Open-water nm</t>
  </si>
  <si>
    <t xml:space="preserve">Landfall quality</t>
  </si>
  <si>
    <t xml:space="preserve">F11, F27</t>
  </si>
  <si>
    <t xml:space="preserve">Watches</t>
  </si>
  <si>
    <t xml:space="preserve">Four hours. A good day is six watches if the fix held.</t>
  </si>
  <si>
    <t xml:space="preserve">Day's sail nm</t>
  </si>
  <si>
    <t xml:space="preserve">Leg length</t>
  </si>
  <si>
    <t xml:space="preserve">F02</t>
  </si>
  <si>
    <t xml:space="preserve">Crack on, easy, heave to. Heave to is the storm choice.</t>
  </si>
  <si>
    <t xml:space="preserve">—</t>
  </si>
  <si>
    <t xml:space="preserve">Sail strain, distance</t>
  </si>
  <si>
    <t xml:space="preserve">F38</t>
  </si>
  <si>
    <t xml:space="preserve">Drift</t>
  </si>
  <si>
    <t xml:space="preserve">No fix, ship walks downwind. Partial fix halves drift. Clean fix refunds it.</t>
  </si>
  <si>
    <t xml:space="preserve">Extra days, wrong landfall</t>
  </si>
  <si>
    <t xml:space="preserve">F03, F38</t>
  </si>
  <si>
    <t xml:space="preserve">Weather deck</t>
  </si>
  <si>
    <t xml:space="preserve">Fog, low cloud, following gale, beam sea, storm, drift ice, calm. Shuffled per leg.</t>
  </si>
  <si>
    <t xml:space="preserve">Content</t>
  </si>
  <si>
    <t xml:space="preserve">Which verb is offered</t>
  </si>
  <si>
    <t xml:space="preserve">F09</t>
  </si>
  <si>
    <t xml:space="preserve">Fishing</t>
  </si>
  <si>
    <t xml:space="preserve">Once a day, coastal only. Fresh spoils in three days at sea unless dried on two fair days.</t>
  </si>
  <si>
    <t xml:space="preserve">Food coverage</t>
  </si>
  <si>
    <t xml:space="preserve">Food units</t>
  </si>
  <si>
    <t xml:space="preserve">F05, F14, F15</t>
  </si>
  <si>
    <t xml:space="preserve">Hay</t>
  </si>
  <si>
    <t xml:space="preserve">Cut in late summer or the byre is a tomb. Mild winter is a climate die, not the default.</t>
  </si>
  <si>
    <t xml:space="preserve">Winters</t>
  </si>
  <si>
    <t xml:space="preserve">Livestock survival</t>
  </si>
  <si>
    <t xml:space="preserve">F16, F47</t>
  </si>
  <si>
    <t xml:space="preserve">Goodwill / fear</t>
  </si>
  <si>
    <t xml:space="preserve">Trade raises goodwill. Weapon sale, killing, palisade, loose bull raise fear.</t>
  </si>
  <si>
    <t xml:space="preserve">Fear cap</t>
  </si>
  <si>
    <t xml:space="preserve">Market or battle</t>
  </si>
  <si>
    <t xml:space="preserve">F19, F20, F21</t>
  </si>
  <si>
    <t xml:space="preserve">Return gate</t>
  </si>
  <si>
    <t xml:space="preserve">Boat shed, seaworthy hull, at least four timber units or equivalent.</t>
  </si>
  <si>
    <t xml:space="preserve">Timber to open return</t>
  </si>
  <si>
    <t xml:space="preserve">F24, F25</t>
  </si>
  <si>
    <t xml:space="preserve">Recruitment</t>
  </si>
  <si>
    <t xml:space="preserve">A living crew with a true story recruits better than silver.</t>
  </si>
  <si>
    <t xml:space="preserve">Summers</t>
  </si>
  <si>
    <t xml:space="preserve">Second hull</t>
  </si>
  <si>
    <t xml:space="preserve">F26</t>
  </si>
  <si>
    <t xml:space="preserve">Score</t>
  </si>
  <si>
    <t xml:space="preserve">Cargo delivered, people alive in both places, goodwill left on the table.</t>
  </si>
  <si>
    <t xml:space="preserve">Qualified vs full win</t>
  </si>
  <si>
    <t xml:space="preserve">F31, F56</t>
  </si>
  <si>
    <t xml:space="preserve">Season clock</t>
  </si>
  <si>
    <t xml:space="preserve">Late-May departure, September last open water. Each watch and each camp day ticks. Still at sea in October is a loss.</t>
  </si>
  <si>
    <t xml:space="preserve">Full game length</t>
  </si>
  <si>
    <t xml:space="preserve">Departure window, winter onset</t>
  </si>
  <si>
    <t xml:space="preserve">F35</t>
  </si>
  <si>
    <t xml:space="preserve">Crack on strains the sail. Storm cards can spring a strake. A repair costs a camp day; a knarr that runs a storm pays twice.</t>
  </si>
  <si>
    <t xml:space="preserve">Storm risk, repair days</t>
  </si>
  <si>
    <t xml:space="preserve">F45</t>
  </si>
  <si>
    <t xml:space="preserve">Sickness and morale</t>
  </si>
  <si>
    <t xml:space="preserve">Bare-bones rations, wet watches, and deaths move morale. Sick crew cannot stand a watch or take a verb.</t>
  </si>
  <si>
    <t xml:space="preserve">Who can work</t>
  </si>
  <si>
    <t xml:space="preserve">F46</t>
  </si>
  <si>
    <t xml:space="preserve">Cattle take 1.5 units, sheep 0.4. Fodder at sea, hay in camp. Milk is the trade good that keeps the peace.</t>
  </si>
  <si>
    <t xml:space="preserve">Cattle at departure</t>
  </si>
  <si>
    <t xml:space="preserve">Milk, hides, the bull event</t>
  </si>
  <si>
    <t xml:space="preserve">F16</t>
  </si>
  <si>
    <t xml:space="preserve">Winter camp</t>
  </si>
  <si>
    <t xml:space="preserve">Hay, dried food, and shelter checked each winter week. A byre keeps the herd; a longhouse keeps the people.</t>
  </si>
  <si>
    <t xml:space="preserve">Survival, spring strength</t>
  </si>
  <si>
    <t xml:space="preserve">F47</t>
  </si>
  <si>
    <t xml:space="preserve">Hold check</t>
  </si>
  <si>
    <t xml:space="preserve">Departure load must fit the hull; the return must fit the timber gate. The HoldCheck sheet proves both from the knobs.</t>
  </si>
  <si>
    <t xml:space="preserve">Ship-ready or not</t>
  </si>
  <si>
    <t xml:space="preserve">F01, F53</t>
  </si>
  <si>
    <t xml:space="preserve">Hold check  ·  does the default load fit the knarr, and does the timber fit going home</t>
  </si>
  <si>
    <t xml:space="preserve">CROSSING LENGTH</t>
  </si>
  <si>
    <t xml:space="preserve">Note</t>
  </si>
  <si>
    <t xml:space="preserve">Route distance (nm)</t>
  </si>
  <si>
    <t xml:space="preserve">Assumptions hold knobs</t>
  </si>
  <si>
    <t xml:space="preserve">Six watches with a held fix</t>
  </si>
  <si>
    <t xml:space="preserve">Clean sailing days</t>
  </si>
  <si>
    <t xml:space="preserve">Every fix clean, no weather</t>
  </si>
  <si>
    <t xml:space="preserve">Fog, drift, heave-to</t>
  </si>
  <si>
    <t xml:space="preserve">What the hold must feed</t>
  </si>
  <si>
    <t xml:space="preserve">DEPARTURE LOAD  ·  ERIKSFJORD</t>
  </si>
  <si>
    <t xml:space="preserve">Line</t>
  </si>
  <si>
    <t xml:space="preserve">Count</t>
  </si>
  <si>
    <t xml:space="preserve">Units each</t>
  </si>
  <si>
    <t xml:space="preserve">Cargo units</t>
  </si>
  <si>
    <t xml:space="preserve">People</t>
  </si>
  <si>
    <t xml:space="preserve">Party size on Assumptions</t>
  </si>
  <si>
    <t xml:space="preserve">Cattle</t>
  </si>
  <si>
    <t xml:space="preserve">Bull included</t>
  </si>
  <si>
    <t xml:space="preserve">Sheep and goats</t>
  </si>
  <si>
    <t xml:space="preserve">People × crossing days ÷ person-days per food unit</t>
  </si>
  <si>
    <t xml:space="preserve">Drink units</t>
  </si>
  <si>
    <t xml:space="preserve">People × crossing days ÷ person-days per drink unit</t>
  </si>
  <si>
    <t xml:space="preserve">Fodder units</t>
  </si>
  <si>
    <t xml:space="preserve">Cattle-equivalents × crossing days ÷ cattle-days per fodder unit</t>
  </si>
  <si>
    <t xml:space="preserve">Trade goods</t>
  </si>
  <si>
    <t xml:space="preserve">Total departure load</t>
  </si>
  <si>
    <t xml:space="preserve">Hull capacity</t>
  </si>
  <si>
    <t xml:space="preserve">Spare at departure</t>
  </si>
  <si>
    <t xml:space="preserve">RETURN  ·  TIMBER HOME</t>
  </si>
  <si>
    <t xml:space="preserve">Return crew</t>
  </si>
  <si>
    <t xml:space="preserve">Return food units</t>
  </si>
  <si>
    <t xml:space="preserve">Same crossing length as outbound</t>
  </si>
  <si>
    <t xml:space="preserve">Return drink units</t>
  </si>
  <si>
    <t xml:space="preserve">Load before timber</t>
  </si>
  <si>
    <t xml:space="preserve">Room for timber</t>
  </si>
  <si>
    <t xml:space="preserve">Most timber units that fit</t>
  </si>
  <si>
    <t xml:space="preserve">Timber units to open the return</t>
  </si>
  <si>
    <t xml:space="preserve">One food, drink, fodder, or trade unit is one cargo unit by definition. Outbound food is eaten by landfall, which is why timber only fits going home. Tune the knobs on Assumptions; this sheet holds no inputs.</t>
  </si>
  <si>
    <t xml:space="preserve">Mini-game production plan  ·  gamepad-first, one grammar</t>
  </si>
  <si>
    <t xml:space="preserve">Game</t>
  </si>
  <si>
    <t xml:space="preserve">Controls</t>
  </si>
  <si>
    <t xml:space="preserve">Difficulty is</t>
  </si>
  <si>
    <t xml:space="preserve">Success pays</t>
  </si>
  <si>
    <t xml:space="preserve">Failure costs</t>
  </si>
  <si>
    <t xml:space="preserve">Build order</t>
  </si>
  <si>
    <t xml:space="preserve">Haptic tell</t>
  </si>
  <si>
    <t xml:space="preserve">No-haptic fallback</t>
  </si>
  <si>
    <t xml:space="preserve">MG1</t>
  </si>
  <si>
    <t xml:space="preserve">Star ring</t>
  </si>
  <si>
    <t xml:space="preserve">LS holds ring, RS seats Pole Star, RT raise, LT lower, B abort to partial</t>
  </si>
  <si>
    <t xml:space="preserve">Cloud gaps and a false horizon glow</t>
  </si>
  <si>
    <t xml:space="preserve">Drift refunded</t>
  </si>
  <si>
    <t xml:space="preserve">Ship walks downwind</t>
  </si>
  <si>
    <t xml:space="preserve">F03</t>
  </si>
  <si>
    <t xml:space="preserve">Pulse sharpens as the Pole Star seats; goes slack through cloud</t>
  </si>
  <si>
    <t xml:space="preserve">Ring rim brightens and a soft tick sounds when seated</t>
  </si>
  <si>
    <t xml:space="preserve">MG2</t>
  </si>
  <si>
    <t xml:space="preserve">Sun board</t>
  </si>
  <si>
    <t xml:space="preserve">LS turns disk, RS sets peg, RT holds through the roll</t>
  </si>
  <si>
    <t xml:space="preserve">Overcast skips it; snatching the shadow keeps yesterday's error</t>
  </si>
  <si>
    <t xml:space="preserve">Latitude error shrinks</t>
  </si>
  <si>
    <t xml:space="preserve">Error carries</t>
  </si>
  <si>
    <t xml:space="preserve">F04</t>
  </si>
  <si>
    <t xml:space="preserve">Low hum when the shadow tip crosses the gnomon curve</t>
  </si>
  <si>
    <t xml:space="preserve">Shadow tip glints; result line names the error in degrees</t>
  </si>
  <si>
    <t xml:space="preserve">MG3</t>
  </si>
  <si>
    <t xml:space="preserve">Hand line</t>
  </si>
  <si>
    <t xml:space="preserve">LS pays line, RT sets on the ease, B cuts the line</t>
  </si>
  <si>
    <t xml:space="preserve">Current, fog hiding the bite</t>
  </si>
  <si>
    <t xml:space="preserve">Meals, hook kept</t>
  </si>
  <si>
    <t xml:space="preserve">Hook stock or the fish</t>
  </si>
  <si>
    <t xml:space="preserve">F05</t>
  </si>
  <si>
    <t xml:space="preserve">Bite is a two-beat tug on the left motor; the ease is a release</t>
  </si>
  <si>
    <t xml:space="preserve">Line twitches, float dips, bite sound on its own channel</t>
  </si>
  <si>
    <t xml:space="preserve">MG4</t>
  </si>
  <si>
    <t xml:space="preserve">Net</t>
  </si>
  <si>
    <t xml:space="preserve">RS throws the arc, both triggers close</t>
  </si>
  <si>
    <t xml:space="preserve">School depth in rain; fog until it is under the boat</t>
  </si>
  <si>
    <t xml:space="preserve">A day's meals, dryable</t>
  </si>
  <si>
    <t xml:space="preserve">Empty throw, day spent</t>
  </si>
  <si>
    <t xml:space="preserve">F14</t>
  </si>
  <si>
    <t xml:space="preserve">Weight builds in both triggers as the school comes under</t>
  </si>
  <si>
    <t xml:space="preserve">Water darkens and the surface boils over the school</t>
  </si>
  <si>
    <t xml:space="preserve">MG5</t>
  </si>
  <si>
    <t xml:space="preserve">Stalk and loose</t>
  </si>
  <si>
    <t xml:space="preserve">LS move, RT speed, LB crouch, RB bow, RS lead, A loose, B lower</t>
  </si>
  <si>
    <t xml:space="preserve">Noise, wind in the grass, slick draw in rain</t>
  </si>
  <si>
    <t xml:space="preserve">Meat and a hide</t>
  </si>
  <si>
    <t xml:space="preserve">Wound, or a fear tick if ranging far</t>
  </si>
  <si>
    <t xml:space="preserve">F12</t>
  </si>
  <si>
    <t xml:space="preserve">Heartbeat when the animal is alert; draw resistance on RT</t>
  </si>
  <si>
    <t xml:space="preserve">Ear-flick icon on the animal; bowstring creak at full draw</t>
  </si>
  <si>
    <t xml:space="preserve">MG6</t>
  </si>
  <si>
    <t xml:space="preserve">Patch reading</t>
  </si>
  <si>
    <t xml:space="preserve">LS walk, RT take, RS sorts the basket</t>
  </si>
  <si>
    <t xml:space="preserve">Greedy hold strips the season; bird-island noise meter</t>
  </si>
  <si>
    <t xml:space="preserve">Food or a cargo marker</t>
  </si>
  <si>
    <t xml:space="preserve">Empty patch, or a vine eaten as calories</t>
  </si>
  <si>
    <t xml:space="preserve">F13</t>
  </si>
  <si>
    <t xml:space="preserve">Soft tick per take, harsh buzz when the take turns greedy</t>
  </si>
  <si>
    <t xml:space="preserve">Patch thins in color; basket weight bar on screen edge</t>
  </si>
  <si>
    <t xml:space="preserve">MG7</t>
  </si>
  <si>
    <t xml:space="preserve">Joint</t>
  </si>
  <si>
    <t xml:space="preserve">LS brace, RS sets peg, RT drives with the grain</t>
  </si>
  <si>
    <t xml:space="preserve">Rain shortens the safe drive; grain reported on the trigger</t>
  </si>
  <si>
    <t xml:space="preserve">Joint seats, day counts</t>
  </si>
  <si>
    <t xml:space="preserve">Split log, day lost</t>
  </si>
  <si>
    <t xml:space="preserve">F07</t>
  </si>
  <si>
    <t xml:space="preserve">Grain resistance rises through RT when driving across it</t>
  </si>
  <si>
    <t xml:space="preserve">Grain line on the log turns red when the drive is cross-grain</t>
  </si>
  <si>
    <t xml:space="preserve">MG8</t>
  </si>
  <si>
    <t xml:space="preserve">Lift</t>
  </si>
  <si>
    <t xml:space="preserve">Both triggers haul, LS braces, B sets down safe</t>
  </si>
  <si>
    <t xml:space="preserve">Sway window; surf on the slipway</t>
  </si>
  <si>
    <t xml:space="preserve">Wall or mast up</t>
  </si>
  <si>
    <t xml:space="preserve">Sick list, cracked timber</t>
  </si>
  <si>
    <t xml:space="preserve">F18</t>
  </si>
  <si>
    <t xml:space="preserve">Sway rhythm alternates between triggers</t>
  </si>
  <si>
    <t xml:space="preserve">Rope tension meter at screen edge with a safe band</t>
  </si>
  <si>
    <t xml:space="preserve">MG9</t>
  </si>
  <si>
    <t xml:space="preserve">Smoke rack fire</t>
  </si>
  <si>
    <t xml:space="preserve">RS keeps the column under the wind</t>
  </si>
  <si>
    <t xml:space="preserve">Wind shove, too-hot case hardening</t>
  </si>
  <si>
    <t xml:space="preserve">Fish becomes a food unit</t>
  </si>
  <si>
    <t xml:space="preserve">Spoiled rack</t>
  </si>
  <si>
    <t xml:space="preserve">F15</t>
  </si>
  <si>
    <t xml:space="preserve">Warmth ramps up; a stutter when the fire case-hardens</t>
  </si>
  <si>
    <t xml:space="preserve">Smoke shifts from white to black as heat runs high</t>
  </si>
  <si>
    <t xml:space="preserve">MG10</t>
  </si>
  <si>
    <t xml:space="preserve">Sea</t>
  </si>
  <si>
    <t xml:space="preserve">Storm bail</t>
  </si>
  <si>
    <t xml:space="preserve">No sky game. Hull check, then bail rhythm on RT</t>
  </si>
  <si>
    <t xml:space="preserve">Wave sets; skipped ring</t>
  </si>
  <si>
    <t xml:space="preserve">Hull holds, blind drift next</t>
  </si>
  <si>
    <t xml:space="preserve">Sprung strake, lost cask, man overboard</t>
  </si>
  <si>
    <t xml:space="preserve">F10</t>
  </si>
  <si>
    <t xml:space="preserve">Wave sets arrive as a rolling rumble one beat early</t>
  </si>
  <si>
    <t xml:space="preserve">Bucket metronome and a water line on the hull</t>
  </si>
  <si>
    <t xml:space="preserve">GAMEPAD GRAMMAR  ·  DO NOT BREAK</t>
  </si>
  <si>
    <t xml:space="preserve">Left stick</t>
  </si>
  <si>
    <t xml:space="preserve">Gross motion: steer, sweep, draw, place, walk</t>
  </si>
  <si>
    <t xml:space="preserve">Right stick</t>
  </si>
  <si>
    <t xml:space="preserve">Fine correction: trim, lead, seat a joint, sort a basket</t>
  </si>
  <si>
    <t xml:space="preserve">RT</t>
  </si>
  <si>
    <t xml:space="preserve">Force or commitment. Haptic is the information channel.</t>
  </si>
  <si>
    <t xml:space="preserve">LT</t>
  </si>
  <si>
    <t xml:space="preserve">Brake, brace, or a lesser safe result</t>
  </si>
  <si>
    <t xml:space="preserve">RB / LB</t>
  </si>
  <si>
    <t xml:space="preserve">Swap tool. No wheel.</t>
  </si>
  <si>
    <t xml:space="preserve">A</t>
  </si>
  <si>
    <t xml:space="preserve">Bite, loose, plant. A commitment.</t>
  </si>
  <si>
    <t xml:space="preserve">B</t>
  </si>
  <si>
    <t xml:space="preserve">Emergency drop. Saves the person, spends the attempt.</t>
  </si>
  <si>
    <t xml:space="preserve">Every haptic tell needs a visual or audio twin before G4 (Backlog F32, Risk R3).</t>
  </si>
  <si>
    <t xml:space="preserve">Feature backlog  ·  must-ship is the vertical promise plus the return</t>
  </si>
  <si>
    <t xml:space="preserve">Feature</t>
  </si>
  <si>
    <t xml:space="preserve">Priority</t>
  </si>
  <si>
    <t xml:space="preserve">Owner</t>
  </si>
  <si>
    <t xml:space="preserve">Estimate (days)</t>
  </si>
  <si>
    <t xml:space="preserve">Depends on</t>
  </si>
  <si>
    <t xml:space="preserve">Acceptance</t>
  </si>
  <si>
    <t xml:space="preserve">F41</t>
  </si>
  <si>
    <t xml:space="preserve">Paper prototype: star ring and hold</t>
  </si>
  <si>
    <t xml:space="preserve">Must</t>
  </si>
  <si>
    <t xml:space="preserve">Done</t>
  </si>
  <si>
    <t xml:space="preserve">Someone who did not design it finds a fix and argues about the hold.  [Digital ring prototype stood in for the paper test.]</t>
  </si>
  <si>
    <t xml:space="preserve">F42</t>
  </si>
  <si>
    <t xml:space="preserve">Engine bake-off: ring prototype in both engines</t>
  </si>
  <si>
    <t xml:space="preserve">Tech</t>
  </si>
  <si>
    <t xml:space="preserve">Engineering</t>
  </si>
  <si>
    <t xml:space="preserve">Engine chosen by week 2 on ring feel and haptic API, not feature lists.  [Godot 4.3 chosen 17 Oct 2026 without a bake-off: free, exports PC and web, builds headless for automated tests.]</t>
  </si>
  <si>
    <t xml:space="preserve">F43</t>
  </si>
  <si>
    <t xml:space="preserve">Source control, build pipeline, tagged builds</t>
  </si>
  <si>
    <t xml:space="preserve">Every playtest build is reproducible from a tag.  [Repo, tagged-quality builds, headless tests, Windows and Web exports.]</t>
  </si>
  <si>
    <t xml:space="preserve">F44</t>
  </si>
  <si>
    <t xml:space="preserve">Art style target: one sea, one camp, one UI frame</t>
  </si>
  <si>
    <t xml:space="preserve">Art</t>
  </si>
  <si>
    <t xml:space="preserve">Not started</t>
  </si>
  <si>
    <t xml:space="preserve">Three paintovers approved: wood, wool, and a ring, not chrome.</t>
  </si>
  <si>
    <t xml:space="preserve">Hold and ration model</t>
  </si>
  <si>
    <t xml:space="preserve">Economy</t>
  </si>
  <si>
    <t xml:space="preserve">In progress</t>
  </si>
  <si>
    <t xml:space="preserve">Cargo units, rations, and spoilage read from Assumptions knobs; no literals in code.  [Hold, rations, spoilage and animal fodder run from knobs; HoldCheck arithmetic reproduced and tested.]</t>
  </si>
  <si>
    <t xml:space="preserve">Watch and leg runner</t>
  </si>
  <si>
    <t xml:space="preserve">Voyage</t>
  </si>
  <si>
    <t xml:space="preserve">Four-hour watches advance a leg; pace and weather resolve per watch.  [Six watches a day, six legs, landfalls, playable voyage screen from Eriksfjord to the Strait.]</t>
  </si>
  <si>
    <t xml:space="preserve">Star ring mini-game</t>
  </si>
  <si>
    <t xml:space="preserve">Fix result (clean, partial, none) feeds drift; playable with haptics off.  [Star ring passed the slice playtest after the difficulty retune.]</t>
  </si>
  <si>
    <t xml:space="preserve">Sun board mini-game</t>
  </si>
  <si>
    <t xml:space="preserve">Overcast skips it; a snatched shadow keeps yesterday's error.</t>
  </si>
  <si>
    <t xml:space="preserve">Hand-line fishing</t>
  </si>
  <si>
    <t xml:space="preserve">A bite reads through the trigger; a cut line keeps the hook.  [Hand line passed the slice playtest after the difficulty retune.]</t>
  </si>
  <si>
    <t xml:space="preserve">F06</t>
  </si>
  <si>
    <t xml:space="preserve">One camp day loop</t>
  </si>
  <si>
    <t xml:space="preserve">Morning job queue, one verb, evening tally that changes the hold.  [Camp day loop shipped in the slice and extended to a full year.]</t>
  </si>
  <si>
    <t xml:space="preserve">Joint construction</t>
  </si>
  <si>
    <t xml:space="preserve">Grain reported on RT; a split log costs the day.  [Joint passed the slice playtest after the difficulty retune.]</t>
  </si>
  <si>
    <t xml:space="preserve">F08</t>
  </si>
  <si>
    <t xml:space="preserve">Gamepad grammar and haptics pass</t>
  </si>
  <si>
    <t xml:space="preserve">Every verb follows the grammar table on MiniGames; no verb invents a button.  [Gamepad grammar mapped as input actions with keyboard fallback.]</t>
  </si>
  <si>
    <t xml:space="preserve">Season clock and calendar</t>
  </si>
  <si>
    <t xml:space="preserve">Clocks</t>
  </si>
  <si>
    <t xml:space="preserve">Watches and camp days tick the calendar; October at sea triggers the loss.  [Season clock from 25 May; at sea past 30 Sep is a loss; HUD dial.]</t>
  </si>
  <si>
    <t xml:space="preserve">F36</t>
  </si>
  <si>
    <t xml:space="preserve">Hold tally UI</t>
  </si>
  <si>
    <t xml:space="preserve">UI</t>
  </si>
  <si>
    <t xml:space="preserve">Hold reads at a glance; every change animates the unit that moved.</t>
  </si>
  <si>
    <t xml:space="preserve">Drink casks, breach, and whey</t>
  </si>
  <si>
    <t xml:space="preserve">A breached cask spoils water; sour whey keeps.  [Breach on rough days loses a cask; thirst sickness. Whey not yet modelled.]</t>
  </si>
  <si>
    <t xml:space="preserve">Pace and drift resolution</t>
  </si>
  <si>
    <t xml:space="preserve">No fix walks downwind; partial halves drift; clean refunds it.  [Pace (crack on, easy, heave to) and drift: none walks, partial halves, clean refunds; open water doubles drift.]</t>
  </si>
  <si>
    <t xml:space="preserve">F39</t>
  </si>
  <si>
    <t xml:space="preserve">Playtest run log</t>
  </si>
  <si>
    <t xml:space="preserve">Tools</t>
  </si>
  <si>
    <t xml:space="preserve">Every run writes hold, rations, fixes, and deaths per day to a file.  [Daily voyage CSV and per-night ring CSV written to the user folder; 1,200-voyage balance sweep in tests.]</t>
  </si>
  <si>
    <t xml:space="preserve">F40</t>
  </si>
  <si>
    <t xml:space="preserve">Haptic pattern library</t>
  </si>
  <si>
    <t xml:space="preserve">Haptic patterns live in data files, tunable without a rebuild.</t>
  </si>
  <si>
    <t xml:space="preserve">F61</t>
  </si>
  <si>
    <t xml:space="preserve">Early store page from slice capture</t>
  </si>
  <si>
    <t xml:space="preserve">Release</t>
  </si>
  <si>
    <t xml:space="preserve">Should</t>
  </si>
  <si>
    <t xml:space="preserve">Page live at G1 so wishlists build for a year.</t>
  </si>
  <si>
    <t xml:space="preserve">Seven cards shuffled per leg; each card offers a verb or takes one away.  [Seven cards plus fair wind, weighted per leg; card shown at each dawn.]</t>
  </si>
  <si>
    <t xml:space="preserve">No sky game in a storm: hull check, then bail rhythm.  [Playable: find the leak, bail on the beat, wave sets with early rumble. Novice keyboard holds 100/92/42% (Forgiving/Standard/Hard).]</t>
  </si>
  <si>
    <t xml:space="preserve">F11</t>
  </si>
  <si>
    <t xml:space="preserve">Helluland, Markland, Strait legs</t>
  </si>
  <si>
    <t xml:space="preserve">Each leg has a landfall quality and a named failure.</t>
  </si>
  <si>
    <t xml:space="preserve">One shot; ranging far can tick fear.  [Playable: stalk, freeze when it watches, crouch, scent, draw, aim with sway, loose; near/far grounds with a fear tick. Novice kills 75-79% Forgiving, 50-63% Standard.]</t>
  </si>
  <si>
    <t xml:space="preserve">Forage patch</t>
  </si>
  <si>
    <t xml:space="preserve">A greedy take strips next season's patch.  [Playable: pick ripe clumps, greedy picking strips the patch for the season; magnetic hand on easier settings. Novice 100% Forgiving/Standard. Bird-island noise still to come.]</t>
  </si>
  <si>
    <t xml:space="preserve">Net throw</t>
  </si>
  <si>
    <t xml:space="preserve">An empty throw spends the day.</t>
  </si>
  <si>
    <t xml:space="preserve">Drying and smoke rack</t>
  </si>
  <si>
    <t xml:space="preserve">Two fair days turn fresh fish into a food unit.  [Smoke-and-dry job turns surplus fresh fish into stores on fair days (90% kept). Rack mini-game (MG9) still to come.]</t>
  </si>
  <si>
    <t xml:space="preserve">Livestock, milk, hay</t>
  </si>
  <si>
    <t xml:space="preserve">Hay cut in late summer or the byre is a tomb.  [Milk from fed cows; hay cut August to mid-October; herd eats hay all winter; no hay kills animals.]</t>
  </si>
  <si>
    <t xml:space="preserve">F17</t>
  </si>
  <si>
    <t xml:space="preserve">Byre, longhouse, booths</t>
  </si>
  <si>
    <t xml:space="preserve">Three buildings raised with the joint and lift verbs; no tech tree.  [Build queue: three booths, the longhouse (540 builder-days), the byre (160). Placeholder drawings.]</t>
  </si>
  <si>
    <t xml:space="preserve">Lift and slipway</t>
  </si>
  <si>
    <t xml:space="preserve">Slipway can spill a log; a bad lift puts a builder on the sick list.</t>
  </si>
  <si>
    <t xml:space="preserve">F19</t>
  </si>
  <si>
    <t xml:space="preserve">Goodwill and fear clocks</t>
  </si>
  <si>
    <t xml:space="preserve">Trade</t>
  </si>
  <si>
    <t xml:space="preserve">Trade raises goodwill; weapon sale, killing, palisade, loose bull raise fear toward the cap.  [Fear clock started: far hunting raises fear (cap 5). Goodwill and the market still to come.]</t>
  </si>
  <si>
    <t xml:space="preserve">F20</t>
  </si>
  <si>
    <t xml:space="preserve">Market day</t>
  </si>
  <si>
    <t xml:space="preserve">Milk and red cloth trade; visitors have wants of their own and leave when fear rises.</t>
  </si>
  <si>
    <t xml:space="preserve">F21</t>
  </si>
  <si>
    <t xml:space="preserve">Bull and weapon-sale events</t>
  </si>
  <si>
    <t xml:space="preserve">Either event can break the market; neither is a cutscene.</t>
  </si>
  <si>
    <t xml:space="preserve">F22</t>
  </si>
  <si>
    <t xml:space="preserve">Four outfits</t>
  </si>
  <si>
    <t xml:space="preserve">Meta</t>
  </si>
  <si>
    <t xml:space="preserve">Each outfit changes the starting hold and one verb's ease.</t>
  </si>
  <si>
    <t xml:space="preserve">F23</t>
  </si>
  <si>
    <t xml:space="preserve">Named crew roles</t>
  </si>
  <si>
    <t xml:space="preserve">Roles decide who can stand a watch, take a verb, or sail home.</t>
  </si>
  <si>
    <t xml:space="preserve">Ship strain and hull damage</t>
  </si>
  <si>
    <t xml:space="preserve">Crack on strains the sail; storms can spring a strake; repair costs a day.  [Sail strain and sprung strakes; repair one level at each landfall.]</t>
  </si>
  <si>
    <t xml:space="preserve">Bare-bones rations and wet watches make sick crew who cannot work.</t>
  </si>
  <si>
    <t xml:space="preserve">Winter camp loop and starvation check</t>
  </si>
  <si>
    <t xml:space="preserve">Each winter week checks hay, food, and shelter; starvation ends the run.  [Seasons and years; first snow 1 Nov, thaw 20 Apr; winter shelter, work, sickness and cold deaths. Year sweeps: a planning camp loses no one, a summer-only camp about 8.]</t>
  </si>
  <si>
    <t xml:space="preserve">F48</t>
  </si>
  <si>
    <t xml:space="preserve">Birth event</t>
  </si>
  <si>
    <t xml:space="preserve">A first-winter birth is possible, never guaranteed.</t>
  </si>
  <si>
    <t xml:space="preserve">F49</t>
  </si>
  <si>
    <t xml:space="preserve">Audio implementation pass</t>
  </si>
  <si>
    <t xml:space="preserve">Audio</t>
  </si>
  <si>
    <t xml:space="preserve">Wind, sea, hull creak, mallet, market bed. Haptic first, speaker second.</t>
  </si>
  <si>
    <t xml:space="preserve">F50</t>
  </si>
  <si>
    <t xml:space="preserve">Save system</t>
  </si>
  <si>
    <t xml:space="preserve">Watch-level autosave at sea, day-level in camp, three rolling slots.  [Autosave every watch at sea and every day ashore, three rolling slots written via temp file, exact-replay loads, Continue on the title.]</t>
  </si>
  <si>
    <t xml:space="preserve">F51</t>
  </si>
  <si>
    <t xml:space="preserve">Main menu, options, pause</t>
  </si>
  <si>
    <t xml:space="preserve">Options cover remaps, haptic strength, text size, and ironman.</t>
  </si>
  <si>
    <t xml:space="preserve">F52</t>
  </si>
  <si>
    <t xml:space="preserve">First-fjord onboarding</t>
  </si>
  <si>
    <t xml:space="preserve">The first leg teaches the grammar without a tutorial screen.</t>
  </si>
  <si>
    <t xml:space="preserve">F53</t>
  </si>
  <si>
    <t xml:space="preserve">Eriksfjord loadout</t>
  </si>
  <si>
    <t xml:space="preserve">Player picks people, animals, and goods against the hull before leaving.</t>
  </si>
  <si>
    <t xml:space="preserve">F59</t>
  </si>
  <si>
    <t xml:space="preserve">Cultural and historical review</t>
  </si>
  <si>
    <t xml:space="preserve">Consultant reviews the market, trade lines, and visitors before G2.</t>
  </si>
  <si>
    <t xml:space="preserve">F63</t>
  </si>
  <si>
    <t xml:space="preserve">Localization-ready string table</t>
  </si>
  <si>
    <t xml:space="preserve">Words</t>
  </si>
  <si>
    <t xml:space="preserve">All text in one table; Icelandic names flagged do-not-translate.</t>
  </si>
  <si>
    <t xml:space="preserve">F65</t>
  </si>
  <si>
    <t xml:space="preserve">External playtest rounds</t>
  </si>
  <si>
    <t xml:space="preserve">Playtest</t>
  </si>
  <si>
    <t xml:space="preserve">Two rounds with run logs and notes; honoraria on Assumptions.</t>
  </si>
  <si>
    <t xml:space="preserve">F24</t>
  </si>
  <si>
    <t xml:space="preserve">Return voyage and autumn bias</t>
  </si>
  <si>
    <t xml:space="preserve">Route</t>
  </si>
  <si>
    <t xml:space="preserve">Autumn bias: longer nights and worse weather on the way home.</t>
  </si>
  <si>
    <t xml:space="preserve">F25</t>
  </si>
  <si>
    <t xml:space="preserve">Timber appraisal and cargo sale</t>
  </si>
  <si>
    <t xml:space="preserve">Timber grade and amount set what the cargo buys at home.</t>
  </si>
  <si>
    <t xml:space="preserve">Recruitment and second hull</t>
  </si>
  <si>
    <t xml:space="preserve">A living crew and a true story recruit better than silver.</t>
  </si>
  <si>
    <t xml:space="preserve">F27</t>
  </si>
  <si>
    <t xml:space="preserve">Hóp push</t>
  </si>
  <si>
    <t xml:space="preserve">Second-summer site. First cut if Production slips.</t>
  </si>
  <si>
    <t xml:space="preserve">F28</t>
  </si>
  <si>
    <t xml:space="preserve">Thorhall split</t>
  </si>
  <si>
    <t xml:space="preserve">Could</t>
  </si>
  <si>
    <t xml:space="preserve">A party leaves to look for grapes. Could cut.</t>
  </si>
  <si>
    <t xml:space="preserve">F29</t>
  </si>
  <si>
    <t xml:space="preserve">Sealing specialty</t>
  </si>
  <si>
    <t xml:space="preserve">Hunter-boat outfit specialty. Could cut.</t>
  </si>
  <si>
    <t xml:space="preserve">F30</t>
  </si>
  <si>
    <t xml:space="preserve">Full three-summer sim</t>
  </si>
  <si>
    <t xml:space="preserve">A run goes outfit to score with no debug commands.</t>
  </si>
  <si>
    <t xml:space="preserve">F54</t>
  </si>
  <si>
    <t xml:space="preserve">Mouse and keyboard fallback</t>
  </si>
  <si>
    <t xml:space="preserve">Every verb completable without a gamepad; not tuned for it.</t>
  </si>
  <si>
    <t xml:space="preserve">F55</t>
  </si>
  <si>
    <t xml:space="preserve">Economy tuning pass from run logs</t>
  </si>
  <si>
    <t xml:space="preserve">Knob changes made on Assumptions, backed by logged runs.</t>
  </si>
  <si>
    <t xml:space="preserve">F64</t>
  </si>
  <si>
    <t xml:space="preserve">Regression pass list per gate</t>
  </si>
  <si>
    <t xml:space="preserve">QA</t>
  </si>
  <si>
    <t xml:space="preserve">Each gate has a written pass list run on the tagged build.</t>
  </si>
  <si>
    <t xml:space="preserve">F31</t>
  </si>
  <si>
    <t xml:space="preserve">Score and saga ending</t>
  </si>
  <si>
    <t xml:space="preserve">Qualified ending scored below a living camp, never scolded.</t>
  </si>
  <si>
    <t xml:space="preserve">F32</t>
  </si>
  <si>
    <t xml:space="preserve">Accessibility: remaps, hold-to-repeat, no-haptic fallback</t>
  </si>
  <si>
    <t xml:space="preserve">Remaps, hold-to-repeat, and a no-haptic twin for every tell.</t>
  </si>
  <si>
    <t xml:space="preserve">F33</t>
  </si>
  <si>
    <t xml:space="preserve">Difficulty pass on sky and stalk</t>
  </si>
  <si>
    <t xml:space="preserve">Polish</t>
  </si>
  <si>
    <t xml:space="preserve">Forgiveness tuned from playtest 2 logs.  [Difficulty levels and novice-player tests in place from the first playtest; tune again from real play logs.]</t>
  </si>
  <si>
    <t xml:space="preserve">F56</t>
  </si>
  <si>
    <t xml:space="preserve">Ending cards and saga text</t>
  </si>
  <si>
    <t xml:space="preserve">One card per ending type, in saga voice.</t>
  </si>
  <si>
    <t xml:space="preserve">F57</t>
  </si>
  <si>
    <t xml:space="preserve">Performance pass and min-spec</t>
  </si>
  <si>
    <t xml:space="preserve">Holds the frame-rate target on Steam Deck class hardware.</t>
  </si>
  <si>
    <t xml:space="preserve">F58</t>
  </si>
  <si>
    <t xml:space="preserve">Steam integration</t>
  </si>
  <si>
    <t xml:space="preserve">Achievements, cloud saves, controller configuration.</t>
  </si>
  <si>
    <t xml:space="preserve">F34</t>
  </si>
  <si>
    <t xml:space="preserve">Store page, trailer, day-one notes</t>
  </si>
  <si>
    <t xml:space="preserve">Trailer is a fix in fog, a joint, and timber leaving the slip.</t>
  </si>
  <si>
    <t xml:space="preserve">F60</t>
  </si>
  <si>
    <t xml:space="preserve">Credits and legal notices</t>
  </si>
  <si>
    <t xml:space="preserve">Engine, font, and audio licenses; consultant credit.</t>
  </si>
  <si>
    <t xml:space="preserve">F62</t>
  </si>
  <si>
    <t xml:space="preserve">Crash reporting and day-one patch buffer</t>
  </si>
  <si>
    <t xml:space="preserve">Crash logs reach the studio; one patch staged before launch.</t>
  </si>
  <si>
    <t xml:space="preserve">Total estimate (days)</t>
  </si>
  <si>
    <t xml:space="preserve">Must-ship days</t>
  </si>
  <si>
    <t xml:space="preserve">Should / could days</t>
  </si>
  <si>
    <t xml:space="preserve">Done days</t>
  </si>
  <si>
    <t xml:space="preserve">Must-ship done</t>
  </si>
  <si>
    <t xml:space="preserve">CAPACITY CHECK  ·  FEATURE DAYS AGAINST BUDGETED PERSON-WEEKS</t>
  </si>
  <si>
    <t xml:space="preserve">Backlog days</t>
  </si>
  <si>
    <t xml:space="preserve">Capacity (days)</t>
  </si>
  <si>
    <t xml:space="preserve">Load</t>
  </si>
  <si>
    <t xml:space="preserve">Read</t>
  </si>
  <si>
    <t xml:space="preserve">All owners</t>
  </si>
  <si>
    <t xml:space="preserve">Person-days</t>
  </si>
  <si>
    <t xml:space="preserve">Estimates are feature-build days only. Iteration, bug fixing, content, and meetings live in the remaining capacity, so a load above 60% is tight and above 80% will slip. Fix by cutting Could items, moving a row to a later phase, or adding weeks on Assumptions.</t>
  </si>
  <si>
    <t xml:space="preserve">Phase schedule  ·  dates flow from Assumptions</t>
  </si>
  <si>
    <t xml:space="preserve">Start</t>
  </si>
  <si>
    <t xml:space="preserve">End</t>
  </si>
  <si>
    <t xml:space="preserve">Exit gate</t>
  </si>
  <si>
    <t xml:space="preserve">Demo</t>
  </si>
  <si>
    <t xml:space="preserve">Risk if slipped</t>
  </si>
  <si>
    <t xml:space="preserve">Gate</t>
  </si>
  <si>
    <t xml:space="preserve">Pillar doc signed. Paper ring playable on a table. Slice scope frozen.</t>
  </si>
  <si>
    <t xml:space="preserve">Internal table read</t>
  </si>
  <si>
    <t xml:space="preserve">Scope still soft. Do not hire the full art week yet.</t>
  </si>
  <si>
    <t xml:space="preserve">G0</t>
  </si>
  <si>
    <t xml:space="preserve">One sea leg, a fix, a fish, a joint, a hold that changed because of them.</t>
  </si>
  <si>
    <t xml:space="preserve">Playable slice, friends</t>
  </si>
  <si>
    <t xml:space="preserve">If the ring is not fun, stop. Nothing downstream saves a bad fix.</t>
  </si>
  <si>
    <t xml:space="preserve">G1</t>
  </si>
  <si>
    <t xml:space="preserve">All six legs, five verbs, market, hay, slipway. No new verbs after this.</t>
  </si>
  <si>
    <t xml:space="preserve">External playtest 1</t>
  </si>
  <si>
    <t xml:space="preserve">Hóp and sealing are the relief valves.</t>
  </si>
  <si>
    <t xml:space="preserve">G2</t>
  </si>
  <si>
    <t xml:space="preserve">Feature complete. One three-summer run from outfit to score.</t>
  </si>
  <si>
    <t xml:space="preserve">External playtest 2</t>
  </si>
  <si>
    <t xml:space="preserve">Economy exploits become the work.</t>
  </si>
  <si>
    <t xml:space="preserve">G3</t>
  </si>
  <si>
    <t xml:space="preserve">Difficulty and accessibility locked. Content freeze.</t>
  </si>
  <si>
    <t xml:space="preserve">Release candidate</t>
  </si>
  <si>
    <t xml:space="preserve">No new events. Tune only.</t>
  </si>
  <si>
    <t xml:space="preserve">G4</t>
  </si>
  <si>
    <t xml:space="preserve">Store page live. Trailer cut. Day-one patch list empty enough to ship.</t>
  </si>
  <si>
    <t xml:space="preserve">A slipped ship date costs the autumn window in the marketing story, not the design.</t>
  </si>
  <si>
    <t xml:space="preserve">G5</t>
  </si>
  <si>
    <t xml:space="preserve">Ship date</t>
  </si>
  <si>
    <t xml:space="preserve">Days, plan date to ship</t>
  </si>
  <si>
    <t xml:space="preserve">MILESTONE CALENDAR CHECK</t>
  </si>
  <si>
    <t xml:space="preserve">The start date and the six week counts live on Assumptions. This sheet only adds. If a phase overruns, add weeks there, do not type a date here.</t>
  </si>
  <si>
    <t xml:space="preserve">Holidays are not carved out of phase weeks. This plan crosses Thanksgiving, the December holidays, and summer. Budget one rest week per phase by adding it on Assumptions (Risk R13).</t>
  </si>
  <si>
    <t xml:space="preserve">Timeline  ·  week by week from Schedule; add weeks on Assumptions and the bars move</t>
  </si>
  <si>
    <t xml:space="preserve">Week</t>
  </si>
  <si>
    <t xml:space="preserve">Week of</t>
  </si>
  <si>
    <t xml:space="preserve">Month</t>
  </si>
  <si>
    <t xml:space="preserve">Gates</t>
  </si>
  <si>
    <t xml:space="preserve">This week</t>
  </si>
  <si>
    <t xml:space="preserve">Team loading and cost  ·  weeks are inputs, rates come from Assumptions</t>
  </si>
  <si>
    <t xml:space="preserve">Role</t>
  </si>
  <si>
    <t xml:space="preserve">Rate / week</t>
  </si>
  <si>
    <t xml:space="preserve">Person-weeks</t>
  </si>
  <si>
    <t xml:space="preserve">Person-weeks per phase</t>
  </si>
  <si>
    <t xml:space="preserve">sum of roles</t>
  </si>
  <si>
    <t xml:space="preserve">Average team size (FTE)</t>
  </si>
  <si>
    <t xml:space="preserve">person-weeks ÷ weeks</t>
  </si>
  <si>
    <t xml:space="preserve">PHASE ROLLUP  ·  DASHBOARD READS THIS BLOCK</t>
  </si>
  <si>
    <t xml:space="preserve">Calendar weeks</t>
  </si>
  <si>
    <t xml:space="preserve">Labor subtotal</t>
  </si>
  <si>
    <t xml:space="preserve">Overhead</t>
  </si>
  <si>
    <t xml:space="preserve">Outsource art</t>
  </si>
  <si>
    <t xml:space="preserve">Music and foley</t>
  </si>
  <si>
    <t xml:space="preserve">Platform fee (Steam Direct)</t>
  </si>
  <si>
    <t xml:space="preserve">Subtotal before contingency</t>
  </si>
  <si>
    <t xml:space="preserve">FULLY LOADED</t>
  </si>
  <si>
    <t xml:space="preserve">Dashboard and Breakeven link</t>
  </si>
  <si>
    <t xml:space="preserve">B35 is the labor subtotal, B36 is fully loaded, B37 is cash outlay excluding labor (with contingency). Dashboard and Breakeven read these three cells.</t>
  </si>
  <si>
    <t xml:space="preserve">Fully loaded</t>
  </si>
  <si>
    <t xml:space="preserve">Cash outlay excl. labor</t>
  </si>
  <si>
    <t xml:space="preserve">Break-even  ·  what the plan costs in copies sold</t>
  </si>
  <si>
    <t xml:space="preserve">NET PER UNIT</t>
  </si>
  <si>
    <t xml:space="preserve">Assumptions</t>
  </si>
  <si>
    <t xml:space="preserve">Realized price</t>
  </si>
  <si>
    <t xml:space="preserve">After launch discounts, regional pricing, sales-tax netting</t>
  </si>
  <si>
    <t xml:space="preserve">After refunds</t>
  </si>
  <si>
    <t xml:space="preserve">Blended store share</t>
  </si>
  <si>
    <t xml:space="preserve">Steam and itch.io weighted by the sales mix</t>
  </si>
  <si>
    <t xml:space="preserve">Net to studio per unit</t>
  </si>
  <si>
    <t xml:space="preserve">Before income tax</t>
  </si>
  <si>
    <t xml:space="preserve">BREAK-EVEN</t>
  </si>
  <si>
    <t xml:space="preserve">Labor at market rates plus every cost line</t>
  </si>
  <si>
    <t xml:space="preserve">Units to break even, fully loaded</t>
  </si>
  <si>
    <t xml:space="preserve">Pays everyone at the rates on Assumptions</t>
  </si>
  <si>
    <t xml:space="preserve">Cash outlay excluding labor</t>
  </si>
  <si>
    <t xml:space="preserve">Overhead, outsourcing, fees, contingency</t>
  </si>
  <si>
    <t xml:space="preserve">Units to recover cash</t>
  </si>
  <si>
    <t xml:space="preserve">The floor for a self-funded solo developer</t>
  </si>
  <si>
    <t xml:space="preserve">Gross sales at full break-even</t>
  </si>
  <si>
    <t xml:space="preserve">List price × units, before every deduction</t>
  </si>
  <si>
    <t xml:space="preserve">SALES SCENARIOS</t>
  </si>
  <si>
    <t xml:space="preserve">Units sold</t>
  </si>
  <si>
    <t xml:space="preserve">Net revenue</t>
  </si>
  <si>
    <t xml:space="preserve">Vs fully loaded</t>
  </si>
  <si>
    <t xml:space="preserve">Vs cash outlay</t>
  </si>
  <si>
    <t xml:space="preserve">Labor rates price the work at market value. A solo developer drawing no salary needs only the cash line to stay whole; the fully loaded line is what the work is worth. Revenue inputs are planning assumptions on Assumptions, not a forecast. Income tax is not modeled.</t>
  </si>
  <si>
    <t xml:space="preserve">Milestone acceptance  ·  a phase is done when the gate is true, not when the week ends</t>
  </si>
  <si>
    <t xml:space="preserve">Phase end</t>
  </si>
  <si>
    <t xml:space="preserve">Must be true</t>
  </si>
  <si>
    <t xml:space="preserve">Evidence</t>
  </si>
  <si>
    <t xml:space="preserve">Backlog proof</t>
  </si>
  <si>
    <t xml:space="preserve">Risks watched</t>
  </si>
  <si>
    <t xml:space="preserve">Pillars signed. Paper prototype of the ring judged fun by someone who did not design it.</t>
  </si>
  <si>
    <t xml:space="preserve">Digital ring prototype, 17 Oct 2026</t>
  </si>
  <si>
    <t xml:space="preserve">Passed</t>
  </si>
  <si>
    <t xml:space="preserve">F41, F42, F43, F44</t>
  </si>
  <si>
    <t xml:space="preserve">R8, R9</t>
  </si>
  <si>
    <t xml:space="preserve">Slice: leave a fjord, miss a fix, fish, dry nothing, build one joint, see the hold change.</t>
  </si>
  <si>
    <t xml:space="preserve">Slice build v2, playtest 17 Oct 2026 ("much better")</t>
  </si>
  <si>
    <t xml:space="preserve">F01, F02, F03, F04, F05, F06, F07, F08, F35, F36, F37, F38, F39, F40, F61</t>
  </si>
  <si>
    <t xml:space="preserve">R1, R2, R12, R16</t>
  </si>
  <si>
    <t xml:space="preserve">All verbs in, market can break, hay can kill the herd, slipway can spill a log.</t>
  </si>
  <si>
    <t xml:space="preserve">Playtest 1 report</t>
  </si>
  <si>
    <t xml:space="preserve">F09, F10, F11, F12, F13, F14, F15, F16, F17, F18, F19, F20, F21, F22, F23, F45, F46, F47, F48, F49, F50, F51, F52, F53, F59, F63, F65</t>
  </si>
  <si>
    <t xml:space="preserve">R4, R5, R6, R11, R13, R15</t>
  </si>
  <si>
    <t xml:space="preserve">Three-summer run completable. Qualified ending and full ending both reachable.</t>
  </si>
  <si>
    <t xml:space="preserve">Alpha save set</t>
  </si>
  <si>
    <t xml:space="preserve">F24, F25, F26, F27, F28, F29, F30, F54, F55, F64</t>
  </si>
  <si>
    <t xml:space="preserve">R7, R10</t>
  </si>
  <si>
    <t xml:space="preserve">Remap works. No-haptic fallback taught. No must-ship bug open.</t>
  </si>
  <si>
    <t xml:space="preserve">Beta bug list</t>
  </si>
  <si>
    <t xml:space="preserve">F31, F32, F33, F56, F57, F58</t>
  </si>
  <si>
    <t xml:space="preserve">R3, R14</t>
  </si>
  <si>
    <t xml:space="preserve">Ship build, trailer, store copy, day-one notes.</t>
  </si>
  <si>
    <t xml:space="preserve">Release folder</t>
  </si>
  <si>
    <t xml:space="preserve">F34, F60, F62</t>
  </si>
  <si>
    <t xml:space="preserve">A gate is Passed only when every Must row in its Backlog proof is Done or formally Cut, and the evidence exists in the release folder.</t>
  </si>
  <si>
    <t xml:space="preserve">Risks  ·  score is likelihood times impact, both 1 to 5</t>
  </si>
  <si>
    <t xml:space="preserve">Risk</t>
  </si>
  <si>
    <t xml:space="preserve">Likelihood</t>
  </si>
  <si>
    <t xml:space="preserve">Impact</t>
  </si>
  <si>
    <t xml:space="preserve">Mitigation</t>
  </si>
  <si>
    <t xml:space="preserve">Watch</t>
  </si>
  <si>
    <t xml:space="preserve">Early warning</t>
  </si>
  <si>
    <t xml:space="preserve">R1</t>
  </si>
  <si>
    <t xml:space="preserve">Star ring is not fun</t>
  </si>
  <si>
    <t xml:space="preserve">Stop at the slice. Retune forgiveness before any other verb. [17 Oct 2026: first playtest failed every mini-game. Retuned: Forgiving / Standard / Hard difficulty, guided prompts, keyboard wind-up, novice-player bots now gate every build.]</t>
  </si>
  <si>
    <t xml:space="preserve">Table testers stop seating stars after three tries</t>
  </si>
  <si>
    <t xml:space="preserve">Watching</t>
  </si>
  <si>
    <t xml:space="preserve">R2</t>
  </si>
  <si>
    <t xml:space="preserve">Hold math is trivial or cruel</t>
  </si>
  <si>
    <t xml:space="preserve">Log every slice run. Tune food coverage on Assumptions, not in code literals.</t>
  </si>
  <si>
    <t xml:space="preserve">Slice runs end with the hold always full or never touched</t>
  </si>
  <si>
    <t xml:space="preserve">Open</t>
  </si>
  <si>
    <t xml:space="preserve">R3</t>
  </si>
  <si>
    <t xml:space="preserve">Haptics-only tells lock out players</t>
  </si>
  <si>
    <t xml:space="preserve">No-haptic fallback is must-ship, not a patch.</t>
  </si>
  <si>
    <t xml:space="preserve">Testers with haptics off miss bites or split joints</t>
  </si>
  <si>
    <t xml:space="preserve">R4</t>
  </si>
  <si>
    <t xml:space="preserve">Scope creep into a second site</t>
  </si>
  <si>
    <t xml:space="preserve">Hóp is Should. Cut it before cutting the return.</t>
  </si>
  <si>
    <t xml:space="preserve">Hóp tasks show up in Production plans</t>
  </si>
  <si>
    <t xml:space="preserve">R5</t>
  </si>
  <si>
    <t xml:space="preserve">Art style slips into illustration</t>
  </si>
  <si>
    <t xml:space="preserve">UI is wood, wool, and a ring. Outsource budget is capped on Assumptions.</t>
  </si>
  <si>
    <t xml:space="preserve">Outsourced pieces come back painterly</t>
  </si>
  <si>
    <t xml:space="preserve">R6</t>
  </si>
  <si>
    <t xml:space="preserve">Native trade reads as a shooter</t>
  </si>
  <si>
    <t xml:space="preserve">Market is the verb. The bow turns outward only after fear caps.</t>
  </si>
  <si>
    <t xml:space="preserve">Testers reach for the bow before the market</t>
  </si>
  <si>
    <t xml:space="preserve">R7</t>
  </si>
  <si>
    <t xml:space="preserve">Solo schedule slips a phase</t>
  </si>
  <si>
    <t xml:space="preserve">Add weeks on Assumptions. Do not silently eat polish.</t>
  </si>
  <si>
    <t xml:space="preserve">Two straight weeks behind on backlog burn</t>
  </si>
  <si>
    <t xml:space="preserve">R8</t>
  </si>
  <si>
    <t xml:space="preserve">Engine choice burns the slice</t>
  </si>
  <si>
    <t xml:space="preserve">Pick at week 2. Ring prototype is the decider, not a feature list.</t>
  </si>
  <si>
    <t xml:space="preserve">No engine pick by the end of week 2</t>
  </si>
  <si>
    <t xml:space="preserve">R9</t>
  </si>
  <si>
    <t xml:space="preserve">Historical pedantry stalls play</t>
  </si>
  <si>
    <t xml:space="preserve">Saga disagreement is a footnote, not a blocker. Karlsefni spine is locked.</t>
  </si>
  <si>
    <t xml:space="preserve">Design debates cite sagas more than playtests</t>
  </si>
  <si>
    <t xml:space="preserve">R10</t>
  </si>
  <si>
    <t xml:space="preserve">Return voyage feels like a commute</t>
  </si>
  <si>
    <t xml:space="preserve">Autumn bias: longer nights, worse weather. The reversal is the content.</t>
  </si>
  <si>
    <t xml:space="preserve">Testers autopilot or skip return legs</t>
  </si>
  <si>
    <t xml:space="preserve">R11</t>
  </si>
  <si>
    <t xml:space="preserve">Indigenous people read as a prop or a stereotype</t>
  </si>
  <si>
    <t xml:space="preserve">Fund the consultant review before G2 (Backlog F59). Market visitors have wants of their own. Keep saga terms in saga-voice text with context, not as faction labels.</t>
  </si>
  <si>
    <t xml:space="preserve">Consultant flags; visitors exist only to trade or fight</t>
  </si>
  <si>
    <t xml:space="preserve">R12</t>
  </si>
  <si>
    <t xml:space="preserve">Store page goes up too late to build wishlists</t>
  </si>
  <si>
    <t xml:space="preserve">Store page live at the end of the slice (F61). One-leg demo for Steam Next Fest between Alpha and Beta.</t>
  </si>
  <si>
    <t xml:space="preserve">Wishlists flat for a month after the page goes live</t>
  </si>
  <si>
    <t xml:space="preserve">R13</t>
  </si>
  <si>
    <t xml:space="preserve">Lead burnout across a 52-week run</t>
  </si>
  <si>
    <t xml:space="preserve">One rest week per phase added on Assumptions. No crunch in Polish; cut order applies instead.</t>
  </si>
  <si>
    <t xml:space="preserve">A skipped rest week; estimates slipping on easy rows</t>
  </si>
  <si>
    <t xml:space="preserve">R14</t>
  </si>
  <si>
    <t xml:space="preserve">Gamepad-first narrows the audience</t>
  </si>
  <si>
    <t xml:space="preserve">Mouse fallback is Should (F54). Store page says controller recommended; Steam Deck Verified target.</t>
  </si>
  <si>
    <t xml:space="preserve">Store page comments ask for mouse support</t>
  </si>
  <si>
    <t xml:space="preserve">R15</t>
  </si>
  <si>
    <t xml:space="preserve">Watch-level autosave corrupts a run</t>
  </si>
  <si>
    <t xml:space="preserve">Three rolling slots, write-then-rename, load test in every regression pass (F50, F64).</t>
  </si>
  <si>
    <t xml:space="preserve">Any failed load in a playtest log</t>
  </si>
  <si>
    <t xml:space="preserve">R16</t>
  </si>
  <si>
    <t xml:space="preserve">Cash runs out before ship</t>
  </si>
  <si>
    <t xml:space="preserve">Breakeven reviewed at every gate. Phase cost share on Dashboard is the burn check. Cut order applies to spend as well as scope.</t>
  </si>
  <si>
    <t xml:space="preserve">Spend runs ahead of the phase share on Dashboard</t>
  </si>
  <si>
    <t xml:space="preserve">Content pipeline  ·  what has to exist before a phase can exit</t>
  </si>
  <si>
    <t xml:space="preserve">Bucket</t>
  </si>
  <si>
    <t xml:space="preserve">Slice need</t>
  </si>
  <si>
    <t xml:space="preserve">Production need</t>
  </si>
  <si>
    <t xml:space="preserve">Ship need</t>
  </si>
  <si>
    <t xml:space="preserve">Outsource?</t>
  </si>
  <si>
    <t xml:space="preserve">Sky</t>
  </si>
  <si>
    <t xml:space="preserve">One clear night, one clouded</t>
  </si>
  <si>
    <t xml:space="preserve">Fog false glow, twilight short night, storm skip</t>
  </si>
  <si>
    <t xml:space="preserve">Autumn return sky</t>
  </si>
  <si>
    <t xml:space="preserve">Stars are marks, not a planetarium</t>
  </si>
  <si>
    <t xml:space="preserve">Ships and UI frames, sky plates</t>
  </si>
  <si>
    <t xml:space="preserve">One coastal leg, one calm</t>
  </si>
  <si>
    <t xml:space="preserve">Ice, beam sea, gale, calm oars</t>
  </si>
  <si>
    <t xml:space="preserve">Autumn storm bias</t>
  </si>
  <si>
    <t xml:space="preserve">Legs are a chain, not an open map</t>
  </si>
  <si>
    <t xml:space="preserve">Design / Art</t>
  </si>
  <si>
    <t xml:space="preserve">No</t>
  </si>
  <si>
    <t xml:space="preserve">Camp</t>
  </si>
  <si>
    <t xml:space="preserve">Booth footprint</t>
  </si>
  <si>
    <t xml:space="preserve">Byre, longhouse, rack, palisade, slip</t>
  </si>
  <si>
    <t xml:space="preserve">Worn winter camp</t>
  </si>
  <si>
    <t xml:space="preserve">Job queue, not a tech tree</t>
  </si>
  <si>
    <t xml:space="preserve">Creatures</t>
  </si>
  <si>
    <t xml:space="preserve">One fish</t>
  </si>
  <si>
    <t xml:space="preserve">Salmon, deer, birds, bull</t>
  </si>
  <si>
    <t xml:space="preserve">Seal for hunter outfit</t>
  </si>
  <si>
    <t xml:space="preserve">No bestiary screen</t>
  </si>
  <si>
    <t xml:space="preserve">Creature models if over budget</t>
  </si>
  <si>
    <t xml:space="preserve">Crew silhouettes</t>
  </si>
  <si>
    <t xml:space="preserve">Four outfits, named roles, market visitors</t>
  </si>
  <si>
    <t xml:space="preserve">Second-summer recruits</t>
  </si>
  <si>
    <t xml:space="preserve">Women are roles, not passengers</t>
  </si>
  <si>
    <t xml:space="preserve">Silhouette pass only</t>
  </si>
  <si>
    <t xml:space="preserve">Ring, hold tally</t>
  </si>
  <si>
    <t xml:space="preserve">Rations, fear, season</t>
  </si>
  <si>
    <t xml:space="preserve">Wood and wool, not chrome</t>
  </si>
  <si>
    <t xml:space="preserve">UI frames (Assumptions B34)</t>
  </si>
  <si>
    <t xml:space="preserve">Wind, one bite, mallet click</t>
  </si>
  <si>
    <t xml:space="preserve">Hull creak, market, hay scythe</t>
  </si>
  <si>
    <t xml:space="preserve">Return theme, trailer stem</t>
  </si>
  <si>
    <t xml:space="preserve">Haptic first, speaker second</t>
  </si>
  <si>
    <t xml:space="preserve">Music and foley (Assumptions B35)</t>
  </si>
  <si>
    <t xml:space="preserve">Fix result line</t>
  </si>
  <si>
    <t xml:space="preserve">Event lines, trade lines, birth</t>
  </si>
  <si>
    <t xml:space="preserve">Ending cards</t>
  </si>
  <si>
    <t xml:space="preserve">No scolding the historical ending</t>
  </si>
  <si>
    <t xml:space="preserve">Haptics</t>
  </si>
  <si>
    <t xml:space="preserve">Ring seat, bite, grain</t>
  </si>
  <si>
    <t xml:space="preserve">One pattern per mini-game tell</t>
  </si>
  <si>
    <t xml:space="preserve">Tuned strengths, no-haptic twins</t>
  </si>
  <si>
    <t xml:space="preserve">Haptics are content, authored like sound</t>
  </si>
  <si>
    <t xml:space="preserve">Store and marketing</t>
  </si>
  <si>
    <t xml:space="preserve">Slice screenshots, capsule draft</t>
  </si>
  <si>
    <t xml:space="preserve">Store page live, demo build</t>
  </si>
  <si>
    <t xml:space="preserve">Trailer, final capsules, press kit</t>
  </si>
  <si>
    <t xml:space="preserve">Trailer: fix in fog, a joint, timber leaving</t>
  </si>
  <si>
    <t xml:space="preserve">Capsule art</t>
  </si>
  <si>
    <t xml:space="preserve">Localization</t>
  </si>
  <si>
    <t xml:space="preserve">String table exists</t>
  </si>
  <si>
    <t xml:space="preserve">All text in the table</t>
  </si>
  <si>
    <t xml:space="preserve">English locked; second language if the date holds</t>
  </si>
  <si>
    <t xml:space="preserve">Icelandic names do not translate</t>
  </si>
  <si>
    <t xml:space="preserve">Translation, post-ship</t>
  </si>
  <si>
    <t xml:space="preserve">Release plan  ·  PC, gamepad-first, a single-player run of three summers</t>
  </si>
  <si>
    <t xml:space="preserve">Decision</t>
  </si>
  <si>
    <t xml:space="preserve">When</t>
  </si>
  <si>
    <t xml:space="preserve">Platform</t>
  </si>
  <si>
    <t xml:space="preserve">PC first. Gamepad required for the intended feel. Mouse is a fallback, not the target.</t>
  </si>
  <si>
    <t xml:space="preserve">Engine</t>
  </si>
  <si>
    <t xml:space="preserve">Choose Godot 4 or Unity at week 2, based on which ships the ring prototype faster.</t>
  </si>
  <si>
    <t xml:space="preserve">Week 2</t>
  </si>
  <si>
    <t xml:space="preserve">Save</t>
  </si>
  <si>
    <t xml:space="preserve">Watch-level autosave on the voyage. Day-level in camp. Ironman is a toggle, not the default.</t>
  </si>
  <si>
    <t xml:space="preserve">Session</t>
  </si>
  <si>
    <t xml:space="preserve">A leg is a sitting. A summer is an evening. The full game is three evenings.</t>
  </si>
  <si>
    <t xml:space="preserve">Price stance</t>
  </si>
  <si>
    <t xml:space="preserve">Premium single purchase. No energy, no hull repair packs.</t>
  </si>
  <si>
    <t xml:space="preserve">Age and tone</t>
  </si>
  <si>
    <t xml:space="preserve">Trade can become a fight. No gore gallery. The bull and the birth are the tonal range.</t>
  </si>
  <si>
    <t xml:space="preserve">Languages</t>
  </si>
  <si>
    <t xml:space="preserve">English at ship. Icelandic names kept. A second language only if the ship date holds.</t>
  </si>
  <si>
    <t xml:space="preserve">Trailer</t>
  </si>
  <si>
    <t xml:space="preserve">One fix in fog, one joint, one timber cargo leaving the slip.</t>
  </si>
  <si>
    <t xml:space="preserve">Day one</t>
  </si>
  <si>
    <t xml:space="preserve">Remap, no-haptic, and a known-issues note if the autumn bias is still sharp.</t>
  </si>
  <si>
    <t xml:space="preserve">Post-ship</t>
  </si>
  <si>
    <t xml:space="preserve">No second site promised. A Markland fishing variant is the only safe follow-up.</t>
  </si>
  <si>
    <t xml:space="preserve">After ship</t>
  </si>
  <si>
    <t xml:space="preserve">Storefronts</t>
  </si>
  <si>
    <t xml:space="preserve">Steam is primary. itch.io carries the same build for players who already follow nickdoneysr there. The sales mix lives on Assumptions.</t>
  </si>
  <si>
    <t xml:space="preserve">Price</t>
  </si>
  <si>
    <t xml:space="preserve">Wishlists</t>
  </si>
  <si>
    <t xml:space="preserve">Store page live at the end of the vertical slice so wishlists build for a full year before ship.</t>
  </si>
  <si>
    <t xml:space="preserve">One-leg demo built from the slice for Steam Next Fest between Alpha and Beta. Demo saves do not carry over.</t>
  </si>
  <si>
    <t xml:space="preserve">Steam Deck</t>
  </si>
  <si>
    <t xml:space="preserve">Target Deck Verified: gamepad-native, legible text at 800p, no launcher.</t>
  </si>
  <si>
    <t xml:space="preserve">Content rating</t>
  </si>
  <si>
    <t xml:space="preserve">Complete the store's content survey (and IARC where a store requires it) at Beta. Disclose trade violence and animal death.</t>
  </si>
  <si>
    <t xml:space="preserve">Achievements</t>
  </si>
  <si>
    <t xml:space="preserve">Tied to saga beats and the full win, never to grinding.</t>
  </si>
  <si>
    <t xml:space="preserve">Accessibility statement</t>
  </si>
  <si>
    <t xml:space="preserve">Store page lists remaps, no-haptic mode, hold-to-repeat, and text size.</t>
  </si>
  <si>
    <t xml:space="preserve">Revision log  ·  what changed in this pass and why</t>
  </si>
  <si>
    <t xml:space="preserve">Date</t>
  </si>
  <si>
    <t xml:space="preserve">Sheet</t>
  </si>
  <si>
    <t xml:space="preserve">Change</t>
  </si>
  <si>
    <t xml:space="preserve">Why</t>
  </si>
  <si>
    <t xml:space="preserve">TeamBudget</t>
  </si>
  <si>
    <t xml:space="preserve">Fixed the stale "Dashboard labor link" note (it pointed at H20 and H26) and removed a stray =J29 sitting in the Playtest honoraria row.</t>
  </si>
  <si>
    <t xml:space="preserve">The note sent readers to the wrong cells; the stray value looked like a cost.</t>
  </si>
  <si>
    <t xml:space="preserve">Renamed row 11 to "Person-weeks per phase" and added an average-team-size (FTE) row.</t>
  </si>
  <si>
    <t xml:space="preserve">Row 11 was labeled a check against Assumptions but only summed person-weeks.</t>
  </si>
  <si>
    <t xml:space="preserve">Added consultant and Steam Direct fee lines; Fully Loaded moved to J31 (named range updated); added cash outlay excluding labor (B37).</t>
  </si>
  <si>
    <t xml:space="preserve">Two real costs were missing; cash outlay drives the self-funded break-even.</t>
  </si>
  <si>
    <t xml:space="preserve">Added hold loading knobs, release and revenue inputs, sales scenarios, project notes, and an expanded how-to-read block.</t>
  </si>
  <si>
    <t xml:space="preserve">Every new sheet reads its inputs from here, keeping one input sheet.</t>
  </si>
  <si>
    <t xml:space="preserve">Systems</t>
  </si>
  <si>
    <t xml:space="preserve">Added Season clock, Ship condition, Sickness and morale, Livestock, Winter camp, and Hold check rows, plus a Backlog column.</t>
  </si>
  <si>
    <t xml:space="preserve">Three clocks on Pillars had no system rows; every system now traces to backlog IDs.</t>
  </si>
  <si>
    <t xml:space="preserve">New sheet: departure load against the hull, return room against the timber gate.</t>
  </si>
  <si>
    <t xml:space="preserve">Proves the default party fits the knarr ("a hold that is already full") and that the return can open.</t>
  </si>
  <si>
    <t xml:space="preserve">MiniGames</t>
  </si>
  <si>
    <t xml:space="preserve">Added Backlog link, Haptic tell, and No-haptic fallback for all ten mini-games.</t>
  </si>
  <si>
    <t xml:space="preserve">Risk R3 and F32 require a no-haptic twin for every tell; none were specified.</t>
  </si>
  <si>
    <t xml:space="preserve">Grew from 34 to 65 items, added Status and Acceptance columns, phase/owner/status dropdowns, done tracking, and a capacity check by owner and phase.</t>
  </si>
  <si>
    <t xml:space="preserve">Preproduction had no rows; save, menus, audio, onboarding, season, hull, winter, review, and release work were missing.</t>
  </si>
  <si>
    <t xml:space="preserve">Schedule</t>
  </si>
  <si>
    <t xml:space="preserve">Added a Gate column, days from plan date to ship, and a holiday note.</t>
  </si>
  <si>
    <t xml:space="preserve">Ties dates to gates; the plan crosses three holiday periods with no rest weeks.</t>
  </si>
  <si>
    <t xml:space="preserve">Timeline</t>
  </si>
  <si>
    <t xml:space="preserve">New sheet: a 60-week bar chart driven by Schedule, with gate and current-week markers.</t>
  </si>
  <si>
    <t xml:space="preserve">A visual of the phase plan that redraws when weeks change.</t>
  </si>
  <si>
    <t xml:space="preserve">New sheet: net per unit, break-even units (fully loaded and cash only), five sales scenarios.</t>
  </si>
  <si>
    <t xml:space="preserve">The plan had cost but no revenue view.</t>
  </si>
  <si>
    <t xml:space="preserve">Milestones</t>
  </si>
  <si>
    <t xml:space="preserve">Added Status (dropdown), Backlog proof, and Risks watched columns plus a pass rule.</t>
  </si>
  <si>
    <t xml:space="preserve">A gate now has a checkable definition of done.</t>
  </si>
  <si>
    <t xml:space="preserve">Added R11 to R16, Early warning and Status columns; extended the heat scale and filter.</t>
  </si>
  <si>
    <t xml:space="preserve">Representation, discoverability, burnout, input reach, save safety, and cash were unlisted.</t>
  </si>
  <si>
    <t xml:space="preserve">Added Owner and Outsource columns and Haptics, Store and marketing, Localization rows.</t>
  </si>
  <si>
    <t xml:space="preserve">Outsource budget lines on Assumptions had no content mapped to them.</t>
  </si>
  <si>
    <t xml:space="preserve">Added storefronts, price, wishlists, demo, Steam Deck, content rating, achievements, accessibility statement.</t>
  </si>
  <si>
    <t xml:space="preserve">Launch decisions beyond the build were missing.</t>
  </si>
  <si>
    <t xml:space="preserve">Dashboard</t>
  </si>
  <si>
    <t xml:space="preserve">Backlog counts widened to the new range; break-even KPI added; Health Checks block with status colors.</t>
  </si>
  <si>
    <t xml:space="preserve">One page now shows scope load, hold math, revenue, risk, and gate status.</t>
  </si>
</sst>
</file>

<file path=xl/styles.xml><?xml version="1.0" encoding="utf-8"?>
<styleSheet xmlns="http://schemas.openxmlformats.org/spreadsheetml/2006/main">
  <numFmts count="18">
    <numFmt numFmtId="164" formatCode="General"/>
    <numFmt numFmtId="165" formatCode="0"/>
    <numFmt numFmtId="166" formatCode="dd\ mmm\ yyyy"/>
    <numFmt numFmtId="167" formatCode="\$#,##0"/>
    <numFmt numFmtId="168" formatCode="0.0%"/>
    <numFmt numFmtId="169" formatCode="#,##0"/>
    <numFmt numFmtId="170" formatCode="0%"/>
    <numFmt numFmtId="171" formatCode="0.0"/>
    <numFmt numFmtId="172" formatCode="\$#,##0.00"/>
    <numFmt numFmtId="173" formatCode="&quot;Target ship &quot;dd\ mmm\ yyyy"/>
    <numFmt numFmtId="174" formatCode="0.00"/>
    <numFmt numFmtId="175" formatCode="0.0000"/>
    <numFmt numFmtId="176" formatCode="@"/>
    <numFmt numFmtId="177" formatCode="0.0;\(0.0\);0.0"/>
    <numFmt numFmtId="178" formatCode="#,##0&quot; days&quot;"/>
    <numFmt numFmtId="179" formatCode="d\ mmm"/>
    <numFmt numFmtId="180" formatCode=";;;"/>
    <numFmt numFmtId="181" formatCode="\$#,##0;&quot;($&quot;#,##0\);\-"/>
  </numFmts>
  <fonts count="25">
    <font>
      <sz val="11"/>
      <color rgb="FF000000"/>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F7F1E6"/>
      <name val="Arial"/>
      <family val="0"/>
      <charset val="1"/>
    </font>
    <font>
      <b val="true"/>
      <sz val="10"/>
      <color rgb="FF1C1915"/>
      <name val="Arial"/>
      <family val="0"/>
      <charset val="1"/>
    </font>
    <font>
      <sz val="10"/>
      <color rgb="FF008000"/>
      <name val="Arial"/>
      <family val="0"/>
      <charset val="1"/>
    </font>
    <font>
      <b val="true"/>
      <sz val="10"/>
      <color rgb="FFFFFFFF"/>
      <name val="Arial"/>
      <family val="0"/>
      <charset val="1"/>
    </font>
    <font>
      <sz val="10"/>
      <color rgb="FF1C1915"/>
      <name val="Arial"/>
      <family val="0"/>
      <charset val="1"/>
    </font>
    <font>
      <b val="true"/>
      <sz val="11"/>
      <color rgb="FFFFFFFF"/>
      <name val="Arial"/>
      <family val="0"/>
      <charset val="1"/>
    </font>
    <font>
      <sz val="10"/>
      <color rgb="FF000000"/>
      <name val="Arial"/>
      <family val="0"/>
      <charset val="1"/>
    </font>
    <font>
      <i val="true"/>
      <sz val="9"/>
      <color rgb="FF5C564C"/>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
      <b val="true"/>
      <sz val="10"/>
      <name val="Arial"/>
      <family val="0"/>
      <charset val="1"/>
    </font>
    <font>
      <sz val="10"/>
      <name val="Arial"/>
      <family val="2"/>
    </font>
    <font>
      <b val="true"/>
      <sz val="12"/>
      <color rgb="FFFFFFFF"/>
      <name val="Arial"/>
      <family val="0"/>
      <charset val="1"/>
    </font>
    <font>
      <b val="true"/>
      <sz val="12"/>
      <name val="Arial"/>
      <family val="0"/>
      <charset val="1"/>
    </font>
    <font>
      <b val="true"/>
      <sz val="8"/>
      <color rgb="FFFFFFFF"/>
      <name val="Arial"/>
      <family val="0"/>
      <charset val="1"/>
    </font>
    <font>
      <sz val="8"/>
      <name val="Arial"/>
      <family val="0"/>
      <charset val="1"/>
    </font>
    <font>
      <b val="true"/>
      <sz val="8"/>
      <name val="Arial"/>
      <family val="0"/>
      <charset val="1"/>
    </font>
    <font>
      <b val="true"/>
      <sz val="9"/>
      <color rgb="FF8C2F2F"/>
      <name val="Arial"/>
      <family val="0"/>
      <charset val="1"/>
    </font>
  </fonts>
  <fills count="12">
    <fill>
      <patternFill patternType="none"/>
    </fill>
    <fill>
      <patternFill patternType="gray125"/>
    </fill>
    <fill>
      <patternFill patternType="solid">
        <fgColor rgb="FF1E3A4C"/>
        <bgColor rgb="FF003366"/>
      </patternFill>
    </fill>
    <fill>
      <patternFill patternType="solid">
        <fgColor rgb="FF6B3E26"/>
        <bgColor rgb="FF8C2F2F"/>
      </patternFill>
    </fill>
    <fill>
      <patternFill patternType="solid">
        <fgColor rgb="FFEFE6D6"/>
        <bgColor rgb="FFF4EFE6"/>
      </patternFill>
    </fill>
    <fill>
      <patternFill patternType="solid">
        <fgColor rgb="FFFFFFFF"/>
        <bgColor rgb="FFF9F9F9"/>
      </patternFill>
    </fill>
    <fill>
      <patternFill patternType="solid">
        <fgColor rgb="FF2E5670"/>
        <bgColor rgb="FF2F6F4E"/>
      </patternFill>
    </fill>
    <fill>
      <patternFill patternType="solid">
        <fgColor rgb="FFF4EFE6"/>
        <bgColor rgb="FFF7F1E6"/>
      </patternFill>
    </fill>
    <fill>
      <patternFill patternType="solid">
        <fgColor rgb="FFC4A46A"/>
        <bgColor rgb="FFE0A0A0"/>
      </patternFill>
    </fill>
    <fill>
      <patternFill patternType="solid">
        <fgColor rgb="FFF7F1E6"/>
        <bgColor rgb="FFF4EFE6"/>
      </patternFill>
    </fill>
    <fill>
      <patternFill patternType="solid">
        <fgColor rgb="FFFFF4CC"/>
        <bgColor rgb="FFF7F1E6"/>
      </patternFill>
    </fill>
    <fill>
      <patternFill patternType="solid">
        <fgColor rgb="FFE4EEF2"/>
        <bgColor rgb="FFF4EFE6"/>
      </patternFill>
    </fill>
  </fills>
  <borders count="3">
    <border diagonalUp="false" diagonalDown="false">
      <left/>
      <right/>
      <top/>
      <bottom/>
      <diagonal/>
    </border>
    <border diagonalUp="false" diagonalDown="false">
      <left style="thin">
        <color rgb="FFD9CBB8"/>
      </left>
      <right style="thin">
        <color rgb="FFD9CBB8"/>
      </right>
      <top style="thin">
        <color rgb="FFD9CBB8"/>
      </top>
      <bottom style="thin">
        <color rgb="FFD9CBB8"/>
      </bottom>
      <diagonal/>
    </border>
    <border diagonalUp="false" diagonalDown="false">
      <left style="thin">
        <color rgb="FFD9CBB8"/>
      </left>
      <right/>
      <top style="thin">
        <color rgb="FFD9CBB8"/>
      </top>
      <bottom style="thin">
        <color rgb="FFD9CB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left"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7" fontId="7" fillId="7" borderId="1" xfId="0" applyFont="true" applyBorder="true" applyAlignment="true" applyProtection="false">
      <alignment horizontal="center" vertical="center" textRotation="0" wrapText="true" indent="0" shrinkToFit="false"/>
      <protection locked="true" hidden="false"/>
    </xf>
    <xf numFmtId="168" fontId="11" fillId="7"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8" fontId="11" fillId="5"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left" vertical="center" textRotation="0" wrapText="false" indent="0" shrinkToFit="false"/>
      <protection locked="true" hidden="false"/>
    </xf>
    <xf numFmtId="169" fontId="7" fillId="0"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5" fontId="11" fillId="8" borderId="1" xfId="0" applyFont="true" applyBorder="true" applyAlignment="true" applyProtection="false">
      <alignment horizontal="center" vertical="center" textRotation="0" wrapText="true" indent="0" shrinkToFit="false"/>
      <protection locked="true" hidden="false"/>
    </xf>
    <xf numFmtId="167" fontId="11" fillId="8" borderId="1" xfId="0" applyFont="true" applyBorder="true" applyAlignment="true" applyProtection="false">
      <alignment horizontal="center" vertical="center" textRotation="0" wrapText="true" indent="0" shrinkToFit="false"/>
      <protection locked="true" hidden="false"/>
    </xf>
    <xf numFmtId="168" fontId="11" fillId="8"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71" fontId="7" fillId="0" borderId="1" xfId="0" applyFont="true" applyBorder="true" applyAlignment="true" applyProtection="false">
      <alignment horizontal="left" vertical="center" textRotation="0" wrapText="false" indent="0" shrinkToFit="false"/>
      <protection locked="true" hidden="false"/>
    </xf>
    <xf numFmtId="172"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true" indent="0" shrinkToFit="false"/>
      <protection locked="true" hidden="false"/>
    </xf>
    <xf numFmtId="168" fontId="7" fillId="0" borderId="1" xfId="0" applyFont="true" applyBorder="true" applyAlignment="true" applyProtection="false">
      <alignment horizontal="left" vertical="center" textRotation="0" wrapText="fals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6" fontId="16" fillId="1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5" fontId="16" fillId="10"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5" fontId="17" fillId="8" borderId="1" xfId="0" applyFont="true" applyBorder="true" applyAlignment="true" applyProtection="false">
      <alignment horizontal="center" vertical="center" textRotation="0" wrapText="true" indent="0" shrinkToFit="false"/>
      <protection locked="true" hidden="false"/>
    </xf>
    <xf numFmtId="173" fontId="11" fillId="8" borderId="1" xfId="0" applyFont="true" applyBorder="true" applyAlignment="true" applyProtection="false">
      <alignment horizontal="general" vertical="bottom" textRotation="0" wrapText="false" indent="0" shrinkToFit="false"/>
      <protection locked="true" hidden="false"/>
    </xf>
    <xf numFmtId="167" fontId="16" fillId="10" borderId="1" xfId="0" applyFont="true" applyBorder="true" applyAlignment="true" applyProtection="false">
      <alignment horizontal="center" vertical="center" textRotation="0" wrapText="true" indent="0" shrinkToFit="false"/>
      <protection locked="true" hidden="false"/>
    </xf>
    <xf numFmtId="168" fontId="16" fillId="10" borderId="1" xfId="0" applyFont="true" applyBorder="true" applyAlignment="true" applyProtection="false">
      <alignment horizontal="center" vertical="center" textRotation="0" wrapText="true" indent="0" shrinkToFit="false"/>
      <protection locked="true" hidden="false"/>
    </xf>
    <xf numFmtId="171" fontId="16" fillId="1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74" fontId="16" fillId="10" borderId="1" xfId="0" applyFont="true" applyBorder="true" applyAlignment="true" applyProtection="false">
      <alignment horizontal="center" vertical="center" textRotation="0" wrapText="true" indent="0" shrinkToFit="false"/>
      <protection locked="true" hidden="false"/>
    </xf>
    <xf numFmtId="169" fontId="16" fillId="10" borderId="1" xfId="0" applyFont="true" applyBorder="true" applyAlignment="true" applyProtection="false">
      <alignment horizontal="center" vertical="center" textRotation="0" wrapText="true" indent="0" shrinkToFit="false"/>
      <protection locked="true" hidden="false"/>
    </xf>
    <xf numFmtId="172" fontId="16" fillId="1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75" fontId="16" fillId="10" borderId="1" xfId="0" applyFont="true" applyBorder="true" applyAlignment="true" applyProtection="false">
      <alignment horizontal="center" vertical="center" textRotation="0" wrapText="true" indent="0" shrinkToFit="false"/>
      <protection locked="true" hidden="false"/>
    </xf>
    <xf numFmtId="176" fontId="16" fillId="10"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71" fontId="11" fillId="0" borderId="1" xfId="0" applyFont="true" applyBorder="true" applyAlignment="true" applyProtection="false">
      <alignment horizontal="center" vertical="center" textRotation="0" wrapText="true" indent="0" shrinkToFit="false"/>
      <protection locked="true" hidden="false"/>
    </xf>
    <xf numFmtId="174" fontId="7" fillId="0" borderId="1" xfId="0" applyFont="true" applyBorder="true" applyAlignment="true" applyProtection="false">
      <alignment horizontal="center" vertical="center" textRotation="0" wrapText="true" indent="0" shrinkToFit="false"/>
      <protection locked="true" hidden="false"/>
    </xf>
    <xf numFmtId="171" fontId="7" fillId="0" borderId="1" xfId="0" applyFont="true" applyBorder="true" applyAlignment="true" applyProtection="false">
      <alignment horizontal="center" vertical="center" textRotation="0" wrapText="true" indent="0" shrinkToFit="false"/>
      <protection locked="true" hidden="false"/>
    </xf>
    <xf numFmtId="171" fontId="17" fillId="8"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77" fontId="19" fillId="2" borderId="1" xfId="0" applyFont="true" applyBorder="true" applyAlignment="true" applyProtection="false">
      <alignment horizontal="center" vertical="center" textRotation="0" wrapText="true" indent="0" shrinkToFit="false"/>
      <protection locked="true" hidden="false"/>
    </xf>
    <xf numFmtId="167" fontId="19" fillId="2"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8"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70" fontId="11" fillId="0" borderId="1" xfId="0" applyFont="true" applyBorder="true" applyAlignment="true" applyProtection="false">
      <alignment horizontal="center" vertical="center" textRotation="0" wrapText="true" indent="0" shrinkToFit="false"/>
      <protection locked="true" hidden="false"/>
    </xf>
    <xf numFmtId="170" fontId="11" fillId="8"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6" fontId="20" fillId="8" borderId="1" xfId="0" applyFont="true" applyBorder="true" applyAlignment="true" applyProtection="false">
      <alignment horizontal="center" vertical="center" textRotation="0" wrapText="true" indent="0" shrinkToFit="false"/>
      <protection locked="true" hidden="false"/>
    </xf>
    <xf numFmtId="178" fontId="11" fillId="0" borderId="2"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79" fontId="22" fillId="0" borderId="1" xfId="0" applyFont="true" applyBorder="true" applyAlignment="true" applyProtection="false">
      <alignment horizontal="center" vertical="center" textRotation="90" wrapText="false" indent="0" shrinkToFit="false"/>
      <protection locked="true" hidden="false"/>
    </xf>
    <xf numFmtId="165" fontId="23"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80" fontId="11" fillId="0" borderId="1" xfId="0" applyFont="true" applyBorder="true" applyAlignment="true" applyProtection="false">
      <alignment horizontal="center" vertical="center" textRotation="0" wrapText="true" indent="0" shrinkToFit="false"/>
      <protection locked="true" hidden="false"/>
    </xf>
    <xf numFmtId="165" fontId="24"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7" fontId="17" fillId="0" borderId="1" xfId="0" applyFont="true" applyBorder="true" applyAlignment="true" applyProtection="false">
      <alignment horizontal="center" vertical="center" textRotation="0" wrapText="true" indent="0" shrinkToFit="false"/>
      <protection locked="true" hidden="false"/>
    </xf>
    <xf numFmtId="167" fontId="17" fillId="8"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7" fontId="11"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72" fontId="11" fillId="0" borderId="1" xfId="0" applyFont="true" applyBorder="true" applyAlignment="true" applyProtection="false">
      <alignment horizontal="center" vertical="center" textRotation="0" wrapText="true" indent="0" shrinkToFit="false"/>
      <protection locked="true" hidden="false"/>
    </xf>
    <xf numFmtId="172" fontId="17" fillId="8" borderId="1" xfId="0" applyFont="true" applyBorder="true" applyAlignment="true" applyProtection="false">
      <alignment horizontal="center" vertical="center" textRotation="0" wrapText="true" indent="0" shrinkToFit="false"/>
      <protection locked="true" hidden="false"/>
    </xf>
    <xf numFmtId="169" fontId="19" fillId="2" borderId="1" xfId="0" applyFont="true" applyBorder="true" applyAlignment="true" applyProtection="false">
      <alignment horizontal="center" vertical="center" textRotation="0" wrapText="true" indent="0" shrinkToFit="false"/>
      <protection locked="true" hidden="false"/>
    </xf>
    <xf numFmtId="181" fontId="11" fillId="0"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bgColor rgb="FFC6D9C4"/>
        </patternFill>
      </fill>
    </dxf>
    <dxf>
      <fill>
        <patternFill>
          <bgColor rgb="FFF0D9A0"/>
        </patternFill>
      </fill>
    </dxf>
    <dxf>
      <fill>
        <patternFill>
          <bgColor rgb="FFE0A0A0"/>
        </patternFill>
      </fill>
    </dxf>
    <dxf>
      <fill>
        <patternFill patternType="solid">
          <fgColor rgb="FF1E3A4C"/>
          <bgColor rgb="FF000000"/>
        </patternFill>
      </fill>
    </dxf>
    <dxf>
      <fill>
        <patternFill patternType="solid">
          <fgColor rgb="FF2E5670"/>
          <bgColor rgb="FF000000"/>
        </patternFill>
      </fill>
    </dxf>
    <dxf>
      <fill>
        <patternFill patternType="solid">
          <fgColor rgb="FFF4EFE6"/>
          <bgColor rgb="FF000000"/>
        </patternFill>
      </fill>
    </dxf>
    <dxf>
      <fill>
        <patternFill patternType="solid">
          <fgColor rgb="FFFFFFFF"/>
          <bgColor rgb="FF000000"/>
        </patternFill>
      </fill>
    </dxf>
    <dxf>
      <fill>
        <patternFill patternType="solid">
          <fgColor rgb="FF1C1915"/>
          <bgColor rgb="FF000000"/>
        </patternFill>
      </fill>
    </dxf>
    <dxf>
      <fill>
        <patternFill patternType="solid">
          <fgColor rgb="FFFFF4CC"/>
          <bgColor rgb="FF000000"/>
        </patternFill>
      </fill>
    </dxf>
    <dxf>
      <fill>
        <patternFill patternType="solid">
          <fgColor rgb="FF0000FF"/>
          <bgColor rgb="FF000000"/>
        </patternFill>
      </fill>
    </dxf>
    <dxf>
      <fill>
        <patternFill patternType="solid">
          <bgColor rgb="FF000000"/>
        </patternFill>
      </fill>
    </dxf>
    <dxf>
      <fill>
        <patternFill patternType="solid">
          <fgColor rgb="FF5C564C"/>
          <bgColor rgb="FF000000"/>
        </patternFill>
      </fill>
    </dxf>
    <dxf>
      <fill>
        <patternFill patternType="solid">
          <fgColor rgb="FF008000"/>
          <bgColor rgb="FF000000"/>
        </patternFill>
      </fill>
    </dxf>
    <dxf>
      <fill>
        <patternFill patternType="solid">
          <fgColor rgb="FFC6D9C4"/>
          <bgColor rgb="FF000000"/>
        </patternFill>
      </fill>
    </dxf>
    <dxf>
      <fill>
        <patternFill patternType="solid">
          <fgColor rgb="FFF0D9A0"/>
          <bgColor rgb="FF000000"/>
        </patternFill>
      </fill>
    </dxf>
    <dxf>
      <fill>
        <patternFill>
          <bgColor rgb="FFD9D4CC"/>
        </patternFill>
      </fill>
    </dxf>
    <dxf>
      <fill>
        <patternFill>
          <bgColor rgb="FF1E3A4C"/>
        </patternFill>
      </fill>
    </dxf>
    <dxf>
      <fill>
        <patternFill>
          <bgColor rgb="FF2E5670"/>
        </patternFill>
      </fill>
    </dxf>
    <dxf>
      <fill>
        <patternFill>
          <bgColor rgb="FF2F6F4E"/>
        </patternFill>
      </fill>
    </dxf>
    <dxf>
      <fill>
        <patternFill>
          <bgColor rgb="FF8A5A12"/>
        </patternFill>
      </fill>
    </dxf>
    <dxf>
      <fill>
        <patternFill>
          <bgColor rgb="FF6B3E26"/>
        </patternFill>
      </fill>
    </dxf>
    <dxf>
      <fill>
        <patternFill>
          <bgColor rgb="FF8C2F2F"/>
        </patternFill>
      </fill>
    </dxf>
    <dxf>
      <fill>
        <patternFill patternType="solid">
          <fgColor rgb="FFEFE6D6"/>
          <bgColor rgb="FF000000"/>
        </patternFill>
      </fill>
    </dxf>
    <dxf>
      <fill>
        <patternFill patternType="solid">
          <fgColor rgb="FF000000"/>
          <bgColor rgb="FF000000"/>
        </patternFill>
      </fill>
    </dxf>
    <dxf>
      <fill>
        <patternFill patternType="solid">
          <fgColor rgb="FFD1D9BB"/>
          <bgColor rgb="FF000000"/>
        </patternFill>
      </fill>
    </dxf>
    <dxf>
      <fill>
        <patternFill patternType="solid">
          <fgColor rgb="FFD9D9B4"/>
          <bgColor rgb="FF000000"/>
        </patternFill>
      </fill>
    </dxf>
    <dxf>
      <fill>
        <patternFill patternType="solid">
          <fgColor rgb="FFE0D9AE"/>
          <bgColor rgb="FF000000"/>
        </patternFill>
      </fill>
    </dxf>
    <dxf>
      <fill>
        <patternFill patternType="solid">
          <fgColor rgb="FFE8D9A7"/>
          <bgColor rgb="FF000000"/>
        </patternFill>
      </fill>
    </dxf>
    <dxf>
      <fill>
        <patternFill patternType="solid">
          <fgColor rgb="FFECC8A0"/>
          <bgColor rgb="FF000000"/>
        </patternFill>
      </fill>
    </dxf>
    <dxf>
      <fill>
        <patternFill patternType="solid">
          <fgColor rgb="FFEDCCA0"/>
          <bgColor rgb="FF000000"/>
        </patternFill>
      </fill>
    </dxf>
  </dxfs>
  <colors>
    <indexedColors>
      <rgbColor rgb="FF000000"/>
      <rgbColor rgb="FFFFFFFF"/>
      <rgbColor rgb="FFFF0000"/>
      <rgbColor rgb="FF00FF00"/>
      <rgbColor rgb="FF0000FF"/>
      <rgbColor rgb="FFEFE6D6"/>
      <rgbColor rgb="FFFF00FF"/>
      <rgbColor rgb="FF00FFFF"/>
      <rgbColor rgb="FF800000"/>
      <rgbColor rgb="FF008000"/>
      <rgbColor rgb="FF000080"/>
      <rgbColor rgb="FF8A5A12"/>
      <rgbColor rgb="FF800080"/>
      <rgbColor rgb="FF008080"/>
      <rgbColor rgb="FFD9CBB8"/>
      <rgbColor rgb="FF878787"/>
      <rgbColor rgb="FF9999FF"/>
      <rgbColor rgb="FF6B3E26"/>
      <rgbColor rgb="FFFFF4CC"/>
      <rgbColor rgb="FFE4EE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F4EFE6"/>
      <rgbColor rgb="FFF7F1E6"/>
      <rgbColor rgb="FFC6D9C4"/>
      <rgbColor rgb="FFE0A0A0"/>
      <rgbColor rgb="FFD9D4CC"/>
      <rgbColor rgb="FFF0D9A0"/>
      <rgbColor rgb="FF3366FF"/>
      <rgbColor rgb="FF33CCCC"/>
      <rgbColor rgb="FF99CC00"/>
      <rgbColor rgb="FFFFCC00"/>
      <rgbColor rgb="FFFF9900"/>
      <rgbColor rgb="FFFF6600"/>
      <rgbColor rgb="FF4F81BD"/>
      <rgbColor rgb="FFC4A46A"/>
      <rgbColor rgb="FF003366"/>
      <rgbColor rgb="FF2F6F4E"/>
      <rgbColor rgb="FF003300"/>
      <rgbColor rgb="FF1C1915"/>
      <rgbColor rgb="FF8C2F2F"/>
      <rgbColor rgb="FF5C564C"/>
      <rgbColor rgb="FF2E5670"/>
      <rgbColor rgb="FF1E3A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Labor by phase</a:t>
            </a:r>
          </a:p>
        </c:rich>
      </c:tx>
      <c:overlay val="0"/>
      <c:spPr>
        <a:noFill/>
        <a:ln w="0">
          <a:noFill/>
        </a:ln>
      </c:spPr>
    </c:title>
    <c:autoTitleDeleted val="0"/>
    <c:plotArea>
      <c:barChart>
        <c:barDir val="col"/>
        <c:grouping val="clustered"/>
        <c:varyColors val="0"/>
        <c:ser>
          <c:idx val="0"/>
          <c:order val="0"/>
          <c:tx>
            <c:strRef>
              <c:f>Dashboard!G5</c:f>
              <c:strCache>
                <c:ptCount val="1"/>
                <c:pt idx="0">
                  <c:v>Labor</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Dashboard!$E$6:$E$11</c:f>
              <c:strCache>
                <c:ptCount val="6"/>
                <c:pt idx="0">
                  <c:v>Preproduction</c:v>
                </c:pt>
                <c:pt idx="1">
                  <c:v>Vertical slice</c:v>
                </c:pt>
                <c:pt idx="2">
                  <c:v>Production</c:v>
                </c:pt>
                <c:pt idx="3">
                  <c:v>Alpha</c:v>
                </c:pt>
                <c:pt idx="4">
                  <c:v>Beta</c:v>
                </c:pt>
                <c:pt idx="5">
                  <c:v>Polish and ship</c:v>
                </c:pt>
              </c:strCache>
            </c:strRef>
          </c:cat>
          <c:val>
            <c:numRef>
              <c:f>Dashboard!$G$6:$G$11</c:f>
              <c:numCache>
                <c:formatCode>\$#,##0</c:formatCode>
                <c:ptCount val="6"/>
                <c:pt idx="0">
                  <c:v>30600</c:v>
                </c:pt>
                <c:pt idx="1">
                  <c:v>63600</c:v>
                </c:pt>
                <c:pt idx="2">
                  <c:v>118800</c:v>
                </c:pt>
                <c:pt idx="3">
                  <c:v>46400</c:v>
                </c:pt>
                <c:pt idx="4">
                  <c:v>39100</c:v>
                </c:pt>
                <c:pt idx="5">
                  <c:v>24600</c:v>
                </c:pt>
              </c:numCache>
            </c:numRef>
          </c:val>
        </c:ser>
        <c:gapWidth val="150"/>
        <c:overlap val="0"/>
        <c:axId val="34176278"/>
        <c:axId val="17074735"/>
      </c:barChart>
      <c:catAx>
        <c:axId val="341762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74735"/>
        <c:crosses val="autoZero"/>
        <c:auto val="1"/>
        <c:lblAlgn val="ctr"/>
        <c:lblOffset val="100"/>
        <c:noMultiLvlLbl val="0"/>
      </c:catAx>
      <c:valAx>
        <c:axId val="170747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762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0</xdr:rowOff>
    </xdr:from>
    <xdr:to>
      <xdr:col>3</xdr:col>
      <xdr:colOff>741960</xdr:colOff>
      <xdr:row>40</xdr:row>
      <xdr:rowOff>58320</xdr:rowOff>
    </xdr:to>
    <xdr:graphicFrame>
      <xdr:nvGraphicFramePr>
        <xdr:cNvPr id="0" name="Chart 1"/>
        <xdr:cNvGraphicFramePr/>
      </xdr:nvGraphicFramePr>
      <xdr:xfrm>
        <a:off x="0" y="6562800"/>
        <a:ext cx="5393880" cy="2153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46A"/>
    <pageSetUpPr fitToPage="true"/>
  </sheetPr>
  <dimension ref="A1:H57"/>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4" min="3" style="1" width="16"/>
    <col collapsed="false" customWidth="true" hidden="false" outlineLevel="0" max="5" min="5" style="1" width="24"/>
    <col collapsed="false" customWidth="true" hidden="false" outlineLevel="0" max="6" min="6" style="1" width="12"/>
    <col collapsed="false" customWidth="true" hidden="false" outlineLevel="0" max="7" min="7" style="1" width="16"/>
    <col collapsed="false" customWidth="true" hidden="false" outlineLevel="0" max="8" min="8" style="1" width="12"/>
  </cols>
  <sheetData>
    <row r="1" customFormat="false" ht="31.5" hidden="false" customHeight="true" outlineLevel="0" collapsed="false">
      <c r="A1" s="2" t="s">
        <v>0</v>
      </c>
      <c r="B1" s="2"/>
      <c r="C1" s="2"/>
      <c r="D1" s="2"/>
      <c r="E1" s="2"/>
      <c r="F1" s="2"/>
      <c r="G1" s="2"/>
      <c r="H1" s="2"/>
    </row>
    <row r="2" customFormat="false" ht="19.5" hidden="false" customHeight="true" outlineLevel="0" collapsed="false">
      <c r="A2" s="3" t="s">
        <v>1</v>
      </c>
      <c r="B2" s="3"/>
      <c r="C2" s="3"/>
      <c r="D2" s="3"/>
      <c r="E2" s="3"/>
      <c r="F2" s="3"/>
      <c r="G2" s="3"/>
      <c r="H2" s="3"/>
    </row>
    <row r="4" customFormat="false" ht="15" hidden="false" customHeight="true" outlineLevel="0" collapsed="false">
      <c r="A4" s="4" t="s">
        <v>2</v>
      </c>
      <c r="B4" s="5" t="str">
        <f aca="false">Assumptions!B5</f>
        <v>Vinland</v>
      </c>
      <c r="E4" s="6" t="s">
        <v>3</v>
      </c>
      <c r="F4" s="6"/>
      <c r="G4" s="6"/>
      <c r="H4" s="6"/>
    </row>
    <row r="5" customFormat="false" ht="15" hidden="false" customHeight="true" outlineLevel="0" collapsed="false">
      <c r="A5" s="4" t="s">
        <v>4</v>
      </c>
      <c r="B5" s="7" t="n">
        <f aca="false">Assumptions!B8</f>
        <v>46328</v>
      </c>
      <c r="C5" s="8"/>
      <c r="D5" s="9"/>
      <c r="E5" s="9" t="s">
        <v>5</v>
      </c>
      <c r="F5" s="9" t="s">
        <v>6</v>
      </c>
      <c r="G5" s="9" t="s">
        <v>7</v>
      </c>
      <c r="H5" s="9" t="s">
        <v>8</v>
      </c>
    </row>
    <row r="6" customFormat="false" ht="15" hidden="false" customHeight="true" outlineLevel="0" collapsed="false">
      <c r="A6" s="4" t="s">
        <v>9</v>
      </c>
      <c r="B6" s="5" t="n">
        <f aca="false">Assumptions!B22</f>
        <v>52</v>
      </c>
      <c r="E6" s="10" t="str">
        <f aca="false">TeamBudget!A15</f>
        <v>Preproduction</v>
      </c>
      <c r="F6" s="11" t="n">
        <f aca="false">TeamBudget!B15</f>
        <v>8</v>
      </c>
      <c r="G6" s="12" t="n">
        <f aca="false">TeamBudget!J15</f>
        <v>30600</v>
      </c>
      <c r="H6" s="13" t="n">
        <f aca="false">IF(TeamBudget!$B$35=0,0,G6/TeamBudget!$B$35)</f>
        <v>0.0947075208913649</v>
      </c>
    </row>
    <row r="7" customFormat="false" ht="21.75" hidden="false" customHeight="true" outlineLevel="0" collapsed="false">
      <c r="A7" s="4" t="s">
        <v>10</v>
      </c>
      <c r="B7" s="7" t="n">
        <f aca="false">Assumptions!C22</f>
        <v>46691</v>
      </c>
      <c r="E7" s="14" t="str">
        <f aca="false">TeamBudget!A16</f>
        <v>Vertical slice</v>
      </c>
      <c r="F7" s="15" t="n">
        <f aca="false">TeamBudget!B16</f>
        <v>10</v>
      </c>
      <c r="G7" s="16" t="n">
        <f aca="false">TeamBudget!J16</f>
        <v>63600</v>
      </c>
      <c r="H7" s="17" t="n">
        <f aca="false">IF(TeamBudget!$B$35=0,0,G7/TeamBudget!$B$35)</f>
        <v>0.196843082636955</v>
      </c>
    </row>
    <row r="8" customFormat="false" ht="15" hidden="false" customHeight="true" outlineLevel="0" collapsed="false">
      <c r="A8" s="4" t="s">
        <v>11</v>
      </c>
      <c r="B8" s="18" t="n">
        <f aca="false">TeamBudget!B35</f>
        <v>323100</v>
      </c>
      <c r="E8" s="10" t="str">
        <f aca="false">TeamBudget!A17</f>
        <v>Production</v>
      </c>
      <c r="F8" s="11" t="n">
        <f aca="false">TeamBudget!B17</f>
        <v>18</v>
      </c>
      <c r="G8" s="12" t="n">
        <f aca="false">TeamBudget!J17</f>
        <v>118800</v>
      </c>
      <c r="H8" s="13" t="n">
        <f aca="false">IF(TeamBudget!$B$35=0,0,G8/TeamBudget!$B$35)</f>
        <v>0.367688022284123</v>
      </c>
    </row>
    <row r="9" customFormat="false" ht="15" hidden="false" customHeight="true" outlineLevel="0" collapsed="false">
      <c r="A9" s="4" t="s">
        <v>12</v>
      </c>
      <c r="B9" s="18" t="n">
        <f aca="false">TeamBudget!B36</f>
        <v>460504.8</v>
      </c>
      <c r="E9" s="14" t="str">
        <f aca="false">TeamBudget!A18</f>
        <v>Alpha</v>
      </c>
      <c r="F9" s="15" t="n">
        <f aca="false">TeamBudget!B18</f>
        <v>6</v>
      </c>
      <c r="G9" s="16" t="n">
        <f aca="false">TeamBudget!J18</f>
        <v>46400</v>
      </c>
      <c r="H9" s="17" t="n">
        <f aca="false">IF(TeamBudget!$B$35=0,0,G9/TeamBudget!$B$35)</f>
        <v>0.143608789848344</v>
      </c>
    </row>
    <row r="10" customFormat="false" ht="15" hidden="false" customHeight="true" outlineLevel="0" collapsed="false">
      <c r="A10" s="4" t="s">
        <v>13</v>
      </c>
      <c r="B10" s="5" t="n">
        <f aca="false">COUNTA(Backlog!A5:A80)</f>
        <v>65</v>
      </c>
      <c r="E10" s="10" t="str">
        <f aca="false">TeamBudget!A19</f>
        <v>Beta</v>
      </c>
      <c r="F10" s="11" t="n">
        <f aca="false">TeamBudget!B19</f>
        <v>6</v>
      </c>
      <c r="G10" s="12" t="n">
        <f aca="false">TeamBudget!J19</f>
        <v>39100</v>
      </c>
      <c r="H10" s="13" t="n">
        <f aca="false">IF(TeamBudget!$B$35=0,0,G10/TeamBudget!$B$35)</f>
        <v>0.121015165583411</v>
      </c>
    </row>
    <row r="11" customFormat="false" ht="15" hidden="false" customHeight="true" outlineLevel="0" collapsed="false">
      <c r="A11" s="4" t="s">
        <v>14</v>
      </c>
      <c r="B11" s="5" t="n">
        <f aca="false">COUNTIF(Backlog!E5:E80,"Must")</f>
        <v>54</v>
      </c>
      <c r="E11" s="14" t="str">
        <f aca="false">TeamBudget!A20</f>
        <v>Polish and ship</v>
      </c>
      <c r="F11" s="15" t="n">
        <f aca="false">TeamBudget!B20</f>
        <v>4</v>
      </c>
      <c r="G11" s="16" t="n">
        <f aca="false">TeamBudget!J20</f>
        <v>24600</v>
      </c>
      <c r="H11" s="17" t="n">
        <f aca="false">IF(TeamBudget!$B$35=0,0,G11/TeamBudget!$B$35)</f>
        <v>0.0761374187558032</v>
      </c>
    </row>
    <row r="12" customFormat="false" ht="15" hidden="false" customHeight="true" outlineLevel="0" collapsed="false">
      <c r="A12" s="4" t="s">
        <v>15</v>
      </c>
      <c r="B12" s="19" t="n">
        <f aca="false">Breakeven!B15</f>
        <v>44085</v>
      </c>
      <c r="E12" s="20" t="s">
        <v>16</v>
      </c>
      <c r="F12" s="21" t="n">
        <f aca="false">SUM(F6:F11)</f>
        <v>52</v>
      </c>
      <c r="G12" s="22" t="n">
        <f aca="false">SUM(G6:G11)</f>
        <v>323100</v>
      </c>
      <c r="H12" s="23" t="n">
        <f aca="false">SUM(H6:H11)</f>
        <v>1</v>
      </c>
    </row>
    <row r="13" customFormat="false" ht="15" hidden="false" customHeight="true" outlineLevel="0" collapsed="false">
      <c r="A13" s="24" t="s">
        <v>17</v>
      </c>
      <c r="B13" s="24"/>
      <c r="C13" s="24"/>
      <c r="D13" s="24"/>
      <c r="E13" s="24"/>
      <c r="F13" s="24"/>
      <c r="G13" s="24"/>
      <c r="H13" s="24"/>
    </row>
    <row r="14" customFormat="false" ht="21.75" hidden="false" customHeight="true" outlineLevel="0" collapsed="false">
      <c r="A14" s="25" t="s">
        <v>18</v>
      </c>
      <c r="B14" s="25"/>
      <c r="C14" s="25"/>
      <c r="D14" s="25"/>
      <c r="E14" s="25"/>
      <c r="F14" s="25"/>
      <c r="G14" s="25"/>
      <c r="H14" s="25"/>
    </row>
    <row r="15" customFormat="false" ht="21.75" hidden="false" customHeight="true" outlineLevel="0" collapsed="false">
      <c r="A15" s="25"/>
      <c r="B15" s="25"/>
      <c r="C15" s="25"/>
      <c r="D15" s="25"/>
      <c r="E15" s="25"/>
      <c r="F15" s="25"/>
      <c r="G15" s="25"/>
      <c r="H15" s="25"/>
    </row>
    <row r="16" customFormat="false" ht="21.75" hidden="false" customHeight="true" outlineLevel="0" collapsed="false">
      <c r="A16" s="25"/>
      <c r="B16" s="25"/>
      <c r="C16" s="25"/>
      <c r="D16" s="25"/>
      <c r="E16" s="25"/>
      <c r="F16" s="25"/>
      <c r="G16" s="25"/>
      <c r="H16" s="25"/>
    </row>
    <row r="18" customFormat="false" ht="15" hidden="false" customHeight="true" outlineLevel="0" collapsed="false">
      <c r="A18" s="6" t="s">
        <v>19</v>
      </c>
      <c r="B18" s="6"/>
      <c r="C18" s="6"/>
      <c r="D18" s="6"/>
      <c r="E18" s="6"/>
      <c r="F18" s="6"/>
      <c r="G18" s="6"/>
      <c r="H18" s="6"/>
    </row>
    <row r="19" customFormat="false" ht="15" hidden="false" customHeight="true" outlineLevel="0" collapsed="false">
      <c r="A19" s="9" t="s">
        <v>20</v>
      </c>
      <c r="B19" s="9" t="s">
        <v>21</v>
      </c>
      <c r="C19" s="9"/>
      <c r="D19" s="9"/>
      <c r="E19" s="9" t="s">
        <v>22</v>
      </c>
      <c r="F19" s="9"/>
      <c r="G19" s="9"/>
      <c r="H19" s="9"/>
    </row>
    <row r="20" customFormat="false" ht="21.75" hidden="false" customHeight="true" outlineLevel="0" collapsed="false">
      <c r="A20" s="26" t="s">
        <v>23</v>
      </c>
      <c r="B20" s="27" t="s">
        <v>24</v>
      </c>
      <c r="C20" s="27"/>
      <c r="D20" s="27"/>
      <c r="E20" s="27" t="s">
        <v>25</v>
      </c>
      <c r="F20" s="27"/>
      <c r="G20" s="27"/>
      <c r="H20" s="27"/>
    </row>
    <row r="21" customFormat="false" ht="21.75" hidden="false" customHeight="true" outlineLevel="0" collapsed="false">
      <c r="A21" s="26" t="s">
        <v>26</v>
      </c>
      <c r="B21" s="28" t="s">
        <v>27</v>
      </c>
      <c r="C21" s="28"/>
      <c r="D21" s="28"/>
      <c r="E21" s="28" t="s">
        <v>28</v>
      </c>
      <c r="F21" s="28"/>
      <c r="G21" s="28"/>
      <c r="H21" s="28"/>
    </row>
    <row r="22" customFormat="false" ht="21.75" hidden="false" customHeight="true" outlineLevel="0" collapsed="false">
      <c r="A22" s="26" t="s">
        <v>29</v>
      </c>
      <c r="B22" s="27" t="s">
        <v>30</v>
      </c>
      <c r="C22" s="27"/>
      <c r="D22" s="27"/>
      <c r="E22" s="27" t="s">
        <v>31</v>
      </c>
      <c r="F22" s="27"/>
      <c r="G22" s="27"/>
      <c r="H22" s="27"/>
    </row>
    <row r="23" customFormat="false" ht="21.75" hidden="false" customHeight="true" outlineLevel="0" collapsed="false">
      <c r="A23" s="26" t="s">
        <v>32</v>
      </c>
      <c r="B23" s="28" t="s">
        <v>33</v>
      </c>
      <c r="C23" s="28"/>
      <c r="D23" s="28"/>
      <c r="E23" s="28" t="s">
        <v>34</v>
      </c>
      <c r="F23" s="28"/>
      <c r="G23" s="28"/>
      <c r="H23" s="28"/>
    </row>
    <row r="24" customFormat="false" ht="21.75" hidden="false" customHeight="true" outlineLevel="0" collapsed="false">
      <c r="A24" s="26" t="s">
        <v>35</v>
      </c>
      <c r="B24" s="27" t="s">
        <v>36</v>
      </c>
      <c r="C24" s="27"/>
      <c r="D24" s="27"/>
      <c r="E24" s="27" t="s">
        <v>37</v>
      </c>
      <c r="F24" s="27"/>
      <c r="G24" s="27"/>
      <c r="H24" s="27"/>
    </row>
    <row r="26" customFormat="false" ht="15" hidden="false" customHeight="true" outlineLevel="0" collapsed="false">
      <c r="A26" s="24" t="s">
        <v>38</v>
      </c>
      <c r="B26" s="24"/>
      <c r="C26" s="24"/>
      <c r="D26" s="24"/>
      <c r="E26" s="24"/>
      <c r="F26" s="24"/>
      <c r="G26" s="24"/>
      <c r="H26" s="24"/>
    </row>
    <row r="27" customFormat="false" ht="15" hidden="false" customHeight="true" outlineLevel="0" collapsed="false">
      <c r="A27" s="25" t="s">
        <v>39</v>
      </c>
      <c r="B27" s="25"/>
      <c r="C27" s="25"/>
      <c r="D27" s="25"/>
      <c r="E27" s="25"/>
      <c r="F27" s="25"/>
      <c r="G27" s="25"/>
      <c r="H27" s="25"/>
    </row>
    <row r="28" customFormat="false" ht="15" hidden="false" customHeight="true" outlineLevel="0" collapsed="false">
      <c r="A28" s="25"/>
      <c r="B28" s="25"/>
      <c r="C28" s="25"/>
      <c r="D28" s="25"/>
      <c r="E28" s="25"/>
      <c r="F28" s="25"/>
      <c r="G28" s="25"/>
      <c r="H28" s="25"/>
    </row>
    <row r="43" customFormat="false" ht="15" hidden="false" customHeight="true" outlineLevel="0" collapsed="false">
      <c r="A43" s="6" t="s">
        <v>40</v>
      </c>
      <c r="B43" s="6"/>
      <c r="C43" s="6"/>
      <c r="D43" s="6"/>
      <c r="E43" s="6"/>
      <c r="F43" s="6"/>
      <c r="G43" s="6"/>
      <c r="H43" s="6"/>
    </row>
    <row r="44" customFormat="false" ht="15" hidden="false" customHeight="true" outlineLevel="0" collapsed="false">
      <c r="A44" s="9" t="s">
        <v>41</v>
      </c>
      <c r="B44" s="9" t="s">
        <v>42</v>
      </c>
      <c r="C44" s="29" t="s">
        <v>43</v>
      </c>
      <c r="D44" s="29"/>
      <c r="E44" s="9" t="s">
        <v>44</v>
      </c>
      <c r="F44" s="29" t="s">
        <v>45</v>
      </c>
      <c r="G44" s="29"/>
      <c r="H44" s="29"/>
    </row>
    <row r="45" customFormat="false" ht="15" hidden="false" customHeight="true" outlineLevel="0" collapsed="false">
      <c r="A45" s="4" t="s">
        <v>46</v>
      </c>
      <c r="B45" s="30" t="n">
        <f aca="false">Backlog!E97</f>
        <v>0.396610169491525</v>
      </c>
      <c r="C45" s="31" t="s">
        <v>47</v>
      </c>
      <c r="D45" s="31"/>
      <c r="E45" s="32" t="str">
        <f aca="false">IF(B45&lt;=0.6,"OK",IF(B45&lt;=0.8,"Tight","Over"))</f>
        <v>OK</v>
      </c>
      <c r="F45" s="33" t="s">
        <v>48</v>
      </c>
      <c r="G45" s="33"/>
      <c r="H45" s="33"/>
    </row>
    <row r="46" customFormat="false" ht="15" hidden="false" customHeight="true" outlineLevel="0" collapsed="false">
      <c r="A46" s="4" t="s">
        <v>49</v>
      </c>
      <c r="B46" s="5" t="str">
        <f aca="false">INDEX(Backlog!$A$91:$A$96,MATCH(MAX(Backlog!$E$91:$E$96),Backlog!$E$91:$E$96,0))&amp;"  ·  "&amp;TEXT(MAX(Backlog!$E$91:$E$96),"0%")</f>
        <v>Design  ·  83%</v>
      </c>
      <c r="C46" s="34" t="s">
        <v>50</v>
      </c>
      <c r="D46" s="34"/>
      <c r="E46" s="32" t="str">
        <f aca="false">IF(MAX(Backlog!$E$91:$E$96)&lt;=0.6,"OK",IF(MAX(Backlog!$E$91:$E$96)&lt;=0.8,"Tight","Over"))</f>
        <v>Over</v>
      </c>
      <c r="F46" s="33" t="s">
        <v>48</v>
      </c>
      <c r="G46" s="33"/>
      <c r="H46" s="33"/>
    </row>
    <row r="47" customFormat="false" ht="15" hidden="false" customHeight="true" outlineLevel="0" collapsed="false">
      <c r="A47" s="4" t="s">
        <v>51</v>
      </c>
      <c r="B47" s="35" t="n">
        <f aca="false">HoldCheck!D23</f>
        <v>0</v>
      </c>
      <c r="C47" s="31" t="s">
        <v>52</v>
      </c>
      <c r="D47" s="31"/>
      <c r="E47" s="32" t="str">
        <f aca="false">IF(B47&lt;0,"Over",IF(B47&lt;1,"OK","Tight"))</f>
        <v>OK</v>
      </c>
      <c r="F47" s="33" t="s">
        <v>53</v>
      </c>
      <c r="G47" s="33"/>
      <c r="H47" s="33"/>
    </row>
    <row r="48" customFormat="false" ht="23.25" hidden="false" customHeight="true" outlineLevel="0" collapsed="false">
      <c r="A48" s="4" t="s">
        <v>54</v>
      </c>
      <c r="B48" s="5" t="n">
        <f aca="false">HoldCheck!D32</f>
        <v>17</v>
      </c>
      <c r="C48" s="34" t="str">
        <f aca="false">"&gt;= "&amp;Assumptions!B49</f>
        <v>&gt;= 4</v>
      </c>
      <c r="D48" s="34"/>
      <c r="E48" s="32" t="str">
        <f aca="false">IF(B48&gt;=Assumptions!B49,"OK","Over")</f>
        <v>OK</v>
      </c>
      <c r="F48" s="33" t="s">
        <v>53</v>
      </c>
      <c r="G48" s="33"/>
      <c r="H48" s="33"/>
    </row>
    <row r="49" customFormat="false" ht="15" hidden="false" customHeight="true" outlineLevel="0" collapsed="false">
      <c r="A49" s="4" t="s">
        <v>55</v>
      </c>
      <c r="B49" s="5" t="n">
        <f aca="false">HoldCheck!B10</f>
        <v>13</v>
      </c>
      <c r="C49" s="31" t="s">
        <v>56</v>
      </c>
      <c r="D49" s="31"/>
      <c r="E49" s="32" t="str">
        <f aca="false">"Info"</f>
        <v>Info</v>
      </c>
      <c r="F49" s="33" t="s">
        <v>53</v>
      </c>
      <c r="G49" s="33"/>
      <c r="H49" s="33"/>
    </row>
    <row r="50" customFormat="false" ht="15" hidden="false" customHeight="true" outlineLevel="0" collapsed="false">
      <c r="A50" s="4" t="s">
        <v>57</v>
      </c>
      <c r="B50" s="36" t="n">
        <f aca="false">Breakeven!B10</f>
        <v>10.4459744</v>
      </c>
      <c r="C50" s="34" t="s">
        <v>56</v>
      </c>
      <c r="D50" s="34"/>
      <c r="E50" s="32" t="str">
        <f aca="false">"Info"</f>
        <v>Info</v>
      </c>
      <c r="F50" s="33" t="s">
        <v>58</v>
      </c>
      <c r="G50" s="33"/>
      <c r="H50" s="33"/>
    </row>
    <row r="51" customFormat="false" ht="15" hidden="false" customHeight="true" outlineLevel="0" collapsed="false">
      <c r="A51" s="4" t="s">
        <v>59</v>
      </c>
      <c r="B51" s="19" t="n">
        <f aca="false">Breakeven!B17</f>
        <v>9443</v>
      </c>
      <c r="C51" s="31" t="s">
        <v>56</v>
      </c>
      <c r="D51" s="31"/>
      <c r="E51" s="32" t="str">
        <f aca="false">"Info"</f>
        <v>Info</v>
      </c>
      <c r="F51" s="33" t="s">
        <v>58</v>
      </c>
      <c r="G51" s="33"/>
      <c r="H51" s="33"/>
    </row>
    <row r="52" customFormat="false" ht="15" hidden="false" customHeight="true" outlineLevel="0" collapsed="false">
      <c r="A52" s="4" t="s">
        <v>60</v>
      </c>
      <c r="B52" s="5" t="n">
        <f aca="false">MAX(Risks!E5:E20)</f>
        <v>16</v>
      </c>
      <c r="C52" s="34" t="s">
        <v>61</v>
      </c>
      <c r="D52" s="34"/>
      <c r="E52" s="32" t="str">
        <f aca="false">IF(B52&gt;=15,"Act",IF(B52&gt;=12,"Tight","OK"))</f>
        <v>Act</v>
      </c>
      <c r="F52" s="33" t="s">
        <v>62</v>
      </c>
      <c r="G52" s="33"/>
      <c r="H52" s="33"/>
    </row>
    <row r="53" customFormat="false" ht="27" hidden="false" customHeight="true" outlineLevel="0" collapsed="false">
      <c r="A53" s="4" t="s">
        <v>63</v>
      </c>
      <c r="B53" s="37" t="str">
        <f aca="false">INDEX(Risks!B5:B20,MATCH(MAX(Risks!E5:E20),Risks!E5:E20,0))</f>
        <v>Store page goes up too late to build wishlists</v>
      </c>
      <c r="C53" s="31" t="s">
        <v>64</v>
      </c>
      <c r="D53" s="31"/>
      <c r="E53" s="32" t="str">
        <f aca="false">"Info"</f>
        <v>Info</v>
      </c>
      <c r="F53" s="33" t="s">
        <v>62</v>
      </c>
      <c r="G53" s="33"/>
      <c r="H53" s="33"/>
    </row>
    <row r="54" customFormat="false" ht="15" hidden="false" customHeight="true" outlineLevel="0" collapsed="false">
      <c r="A54" s="4" t="s">
        <v>65</v>
      </c>
      <c r="B54" s="5" t="n">
        <f aca="false">COUNTIFS(Risks!E5:E20,"&gt;=12",Risks!J5:J20,"&lt;&gt;Closed")</f>
        <v>9</v>
      </c>
      <c r="C54" s="34" t="s">
        <v>66</v>
      </c>
      <c r="D54" s="34"/>
      <c r="E54" s="32" t="str">
        <f aca="false">IF(B54=0,"OK","Tight")</f>
        <v>Tight</v>
      </c>
      <c r="F54" s="33" t="s">
        <v>62</v>
      </c>
      <c r="G54" s="33"/>
      <c r="H54" s="33"/>
    </row>
    <row r="55" customFormat="false" ht="15" hidden="false" customHeight="true" outlineLevel="0" collapsed="false">
      <c r="A55" s="4" t="s">
        <v>67</v>
      </c>
      <c r="B55" s="5" t="str">
        <f aca="false">COUNTIF(Backlog!I5:I80,"Done")&amp;" of "&amp;COUNTA(Backlog!A5:A80)</f>
        <v>7 of 65</v>
      </c>
      <c r="C55" s="31" t="s">
        <v>68</v>
      </c>
      <c r="D55" s="31"/>
      <c r="E55" s="32" t="str">
        <f aca="false">"Info"</f>
        <v>Info</v>
      </c>
      <c r="F55" s="33" t="s">
        <v>69</v>
      </c>
      <c r="G55" s="33"/>
      <c r="H55" s="33"/>
    </row>
    <row r="56" customFormat="false" ht="15" hidden="false" customHeight="true" outlineLevel="0" collapsed="false">
      <c r="A56" s="4" t="s">
        <v>70</v>
      </c>
      <c r="B56" s="38" t="n">
        <f aca="false">Backlog!G86</f>
        <v>0.169934640522876</v>
      </c>
      <c r="C56" s="34" t="s">
        <v>71</v>
      </c>
      <c r="D56" s="34"/>
      <c r="E56" s="32" t="str">
        <f aca="false">"Info"</f>
        <v>Info</v>
      </c>
      <c r="F56" s="33" t="s">
        <v>69</v>
      </c>
      <c r="G56" s="33"/>
      <c r="H56" s="33"/>
    </row>
    <row r="57" customFormat="false" ht="15" hidden="false" customHeight="true" outlineLevel="0" collapsed="false">
      <c r="A57" s="4" t="s">
        <v>72</v>
      </c>
      <c r="B57" s="5" t="str">
        <f aca="false">COUNTIF(Milestones!F5:F10,"Passed")&amp;" of 6"</f>
        <v>2 of 6</v>
      </c>
      <c r="C57" s="31" t="s">
        <v>73</v>
      </c>
      <c r="D57" s="31"/>
      <c r="E57" s="32" t="str">
        <f aca="false">"Info"</f>
        <v>Info</v>
      </c>
      <c r="F57" s="33" t="s">
        <v>74</v>
      </c>
      <c r="G57" s="33"/>
      <c r="H57" s="33"/>
    </row>
  </sheetData>
  <mergeCells count="49">
    <mergeCell ref="A1:H1"/>
    <mergeCell ref="A2:H2"/>
    <mergeCell ref="E4:H4"/>
    <mergeCell ref="A13:H13"/>
    <mergeCell ref="A14:H16"/>
    <mergeCell ref="A18:H18"/>
    <mergeCell ref="B19:D19"/>
    <mergeCell ref="E19:H19"/>
    <mergeCell ref="B20:D20"/>
    <mergeCell ref="E20:H20"/>
    <mergeCell ref="B21:D21"/>
    <mergeCell ref="E21:H21"/>
    <mergeCell ref="B22:D22"/>
    <mergeCell ref="E22:H22"/>
    <mergeCell ref="B23:D23"/>
    <mergeCell ref="E23:H23"/>
    <mergeCell ref="B24:D24"/>
    <mergeCell ref="E24:H24"/>
    <mergeCell ref="A26:H26"/>
    <mergeCell ref="A27:H28"/>
    <mergeCell ref="A43:H43"/>
    <mergeCell ref="C44:D44"/>
    <mergeCell ref="F44:H44"/>
    <mergeCell ref="C45:D45"/>
    <mergeCell ref="F45:H45"/>
    <mergeCell ref="C46:D46"/>
    <mergeCell ref="F46:H46"/>
    <mergeCell ref="C47:D47"/>
    <mergeCell ref="F47:H47"/>
    <mergeCell ref="C48:D48"/>
    <mergeCell ref="F48:H48"/>
    <mergeCell ref="C49:D49"/>
    <mergeCell ref="F49:H49"/>
    <mergeCell ref="C50:D50"/>
    <mergeCell ref="F50:H50"/>
    <mergeCell ref="C51:D51"/>
    <mergeCell ref="F51:H51"/>
    <mergeCell ref="C52:D52"/>
    <mergeCell ref="F52:H52"/>
    <mergeCell ref="C53:D53"/>
    <mergeCell ref="F53:H53"/>
    <mergeCell ref="C54:D54"/>
    <mergeCell ref="F54:H54"/>
    <mergeCell ref="C55:D55"/>
    <mergeCell ref="F55:H55"/>
    <mergeCell ref="C56:D56"/>
    <mergeCell ref="F56:H56"/>
    <mergeCell ref="C57:D57"/>
    <mergeCell ref="F57:H57"/>
  </mergeCells>
  <conditionalFormatting sqref="E45:E57">
    <cfRule type="cellIs" priority="2" operator="equal" aboveAverage="0" equalAverage="0" bottom="0" percent="0" rank="0" text="" dxfId="0">
      <formula>"OK"</formula>
    </cfRule>
    <cfRule type="cellIs" priority="3" operator="equal" aboveAverage="0" equalAverage="0" bottom="0" percent="0" rank="0" text="" dxfId="1">
      <formula>"Tight"</formula>
    </cfRule>
    <cfRule type="cellIs" priority="4" operator="equal" aboveAverage="0" equalAverage="0" bottom="0" percent="0" rank="0" text="" dxfId="2">
      <formula>"Over"</formula>
    </cfRule>
    <cfRule type="cellIs" priority="5" operator="equal" aboveAverage="0" equalAverage="0" bottom="0" percent="0" rank="0" text="" dxfId="2">
      <formula>"Act"</formula>
    </cfRule>
  </conditionalFormatting>
  <printOptions headings="false" gridLines="false" gridLinesSet="true" horizontalCentered="false" verticalCentered="false"/>
  <pageMargins left="0.75" right="0.75" top="1" bottom="1" header="0.5" footer="0.5"/>
  <pageSetup paperSize="3" scale="100" fitToWidth="1" fitToHeight="1" pageOrder="downThenOver" orientation="landscape" blackAndWhite="false" draft="false" cellComments="none" horizontalDpi="300" verticalDpi="300" copies="1"/>
  <headerFooter differentFirst="false" differentOddEven="false">
    <oddHeader>&amp;LVinland  |  Dashboard</oddHeader>
    <oddFooter>&amp;LYellow cells with blue text are inputs. Green text is a cross-sheet link. Black text is a formula.&amp;RPage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46A"/>
    <pageSetUpPr fitToPage="true"/>
  </sheetPr>
  <dimension ref="A1:F17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8"/>
    <col collapsed="false" customWidth="true" hidden="false" outlineLevel="0" max="3" min="3" style="1" width="62"/>
    <col collapsed="false" customWidth="true" hidden="false" outlineLevel="0" max="6" min="4" style="1" width="18"/>
  </cols>
  <sheetData>
    <row r="1" customFormat="false" ht="31.5" hidden="false" customHeight="true" outlineLevel="0" collapsed="false">
      <c r="A1" s="2" t="s">
        <v>0</v>
      </c>
      <c r="B1" s="2"/>
      <c r="C1" s="2"/>
      <c r="D1" s="2"/>
      <c r="E1" s="2"/>
      <c r="F1" s="2"/>
    </row>
    <row r="2" customFormat="false" ht="19.5" hidden="false" customHeight="true" outlineLevel="0" collapsed="false">
      <c r="A2" s="3" t="s">
        <v>75</v>
      </c>
      <c r="B2" s="3"/>
      <c r="C2" s="3"/>
      <c r="D2" s="3"/>
      <c r="E2" s="3"/>
      <c r="F2" s="3"/>
    </row>
    <row r="4" customFormat="false" ht="15" hidden="false" customHeight="true" outlineLevel="0" collapsed="false">
      <c r="A4" s="6" t="s">
        <v>76</v>
      </c>
      <c r="B4" s="6"/>
    </row>
    <row r="5" customFormat="false" ht="15" hidden="false" customHeight="true" outlineLevel="0" collapsed="false">
      <c r="A5" s="4" t="s">
        <v>2</v>
      </c>
      <c r="B5" s="39" t="s">
        <v>77</v>
      </c>
    </row>
    <row r="6" customFormat="false" ht="15" hidden="false" customHeight="true" outlineLevel="0" collapsed="false">
      <c r="A6" s="4" t="s">
        <v>78</v>
      </c>
      <c r="B6" s="39" t="s">
        <v>79</v>
      </c>
    </row>
    <row r="7" customFormat="false" ht="15" hidden="false" customHeight="true" outlineLevel="0" collapsed="false">
      <c r="A7" s="4" t="s">
        <v>80</v>
      </c>
      <c r="B7" s="40" t="n">
        <v>46304</v>
      </c>
      <c r="C7" s="41" t="s">
        <v>81</v>
      </c>
    </row>
    <row r="8" customFormat="false" ht="15" hidden="false" customHeight="true" outlineLevel="0" collapsed="false">
      <c r="A8" s="4" t="s">
        <v>4</v>
      </c>
      <c r="B8" s="40" t="n">
        <v>46328</v>
      </c>
      <c r="C8" s="41" t="s">
        <v>82</v>
      </c>
    </row>
    <row r="9" customFormat="false" ht="15" hidden="false" customHeight="true" outlineLevel="0" collapsed="false">
      <c r="A9" s="4" t="s">
        <v>83</v>
      </c>
      <c r="B9" s="39" t="s">
        <v>84</v>
      </c>
      <c r="C9" s="41" t="s">
        <v>85</v>
      </c>
    </row>
    <row r="10" customFormat="false" ht="15" hidden="false" customHeight="true" outlineLevel="0" collapsed="false">
      <c r="A10" s="4" t="s">
        <v>86</v>
      </c>
      <c r="B10" s="39" t="s">
        <v>87</v>
      </c>
      <c r="C10" s="41" t="s">
        <v>88</v>
      </c>
    </row>
    <row r="11" customFormat="false" ht="15" hidden="false" customHeight="true" outlineLevel="0" collapsed="false">
      <c r="A11" s="4" t="s">
        <v>89</v>
      </c>
      <c r="B11" s="39" t="s">
        <v>90</v>
      </c>
      <c r="C11" s="41" t="s">
        <v>91</v>
      </c>
    </row>
    <row r="12" customFormat="false" ht="15" hidden="false" customHeight="true" outlineLevel="0" collapsed="false">
      <c r="A12" s="4" t="s">
        <v>92</v>
      </c>
      <c r="B12" s="39" t="s">
        <v>93</v>
      </c>
    </row>
    <row r="14" customFormat="false" ht="15" hidden="false" customHeight="true" outlineLevel="0" collapsed="false">
      <c r="A14" s="6" t="s">
        <v>94</v>
      </c>
      <c r="B14" s="6"/>
      <c r="C14" s="6"/>
    </row>
    <row r="15" customFormat="false" ht="15" hidden="false" customHeight="true" outlineLevel="0" collapsed="false">
      <c r="A15" s="9" t="s">
        <v>5</v>
      </c>
      <c r="B15" s="9" t="s">
        <v>6</v>
      </c>
      <c r="C15" s="9" t="s">
        <v>95</v>
      </c>
    </row>
    <row r="16" customFormat="false" ht="27.75" hidden="false" customHeight="true" outlineLevel="0" collapsed="false">
      <c r="A16" s="42" t="s">
        <v>96</v>
      </c>
      <c r="B16" s="43" t="n">
        <v>8</v>
      </c>
      <c r="C16" s="41" t="s">
        <v>97</v>
      </c>
    </row>
    <row r="17" customFormat="false" ht="27.75" hidden="false" customHeight="true" outlineLevel="0" collapsed="false">
      <c r="A17" s="44" t="s">
        <v>98</v>
      </c>
      <c r="B17" s="43" t="n">
        <v>10</v>
      </c>
      <c r="C17" s="41" t="s">
        <v>99</v>
      </c>
    </row>
    <row r="18" customFormat="false" ht="27.75" hidden="false" customHeight="true" outlineLevel="0" collapsed="false">
      <c r="A18" s="42" t="s">
        <v>100</v>
      </c>
      <c r="B18" s="43" t="n">
        <v>18</v>
      </c>
      <c r="C18" s="41" t="s">
        <v>101</v>
      </c>
    </row>
    <row r="19" customFormat="false" ht="27.75" hidden="false" customHeight="true" outlineLevel="0" collapsed="false">
      <c r="A19" s="44" t="s">
        <v>102</v>
      </c>
      <c r="B19" s="43" t="n">
        <v>6</v>
      </c>
      <c r="C19" s="41" t="s">
        <v>103</v>
      </c>
    </row>
    <row r="20" customFormat="false" ht="27.75" hidden="false" customHeight="true" outlineLevel="0" collapsed="false">
      <c r="A20" s="42" t="s">
        <v>104</v>
      </c>
      <c r="B20" s="43" t="n">
        <v>6</v>
      </c>
      <c r="C20" s="41" t="s">
        <v>105</v>
      </c>
    </row>
    <row r="21" customFormat="false" ht="27.75" hidden="false" customHeight="true" outlineLevel="0" collapsed="false">
      <c r="A21" s="44" t="s">
        <v>106</v>
      </c>
      <c r="B21" s="43" t="n">
        <v>4</v>
      </c>
      <c r="C21" s="41" t="s">
        <v>107</v>
      </c>
    </row>
    <row r="22" customFormat="false" ht="15" hidden="false" customHeight="true" outlineLevel="0" collapsed="false">
      <c r="A22" s="20" t="s">
        <v>108</v>
      </c>
      <c r="B22" s="45" t="n">
        <f aca="false">SUM(B16:B21)</f>
        <v>52</v>
      </c>
      <c r="C22" s="46" t="n">
        <f aca="false">B8+B22*7-1</f>
        <v>46691</v>
      </c>
    </row>
    <row r="24" customFormat="false" ht="15" hidden="false" customHeight="true" outlineLevel="0" collapsed="false">
      <c r="A24" s="6" t="s">
        <v>109</v>
      </c>
      <c r="B24" s="6"/>
      <c r="C24" s="6"/>
    </row>
    <row r="25" customFormat="false" ht="15" hidden="false" customHeight="true" outlineLevel="0" collapsed="false">
      <c r="A25" s="9" t="s">
        <v>110</v>
      </c>
      <c r="B25" s="9" t="s">
        <v>42</v>
      </c>
      <c r="C25" s="9" t="s">
        <v>111</v>
      </c>
    </row>
    <row r="26" customFormat="false" ht="15" hidden="false" customHeight="true" outlineLevel="0" collapsed="false">
      <c r="A26" s="42" t="s">
        <v>112</v>
      </c>
      <c r="B26" s="47" t="n">
        <v>1800</v>
      </c>
      <c r="C26" s="41" t="s">
        <v>113</v>
      </c>
    </row>
    <row r="27" customFormat="false" ht="15" hidden="false" customHeight="true" outlineLevel="0" collapsed="false">
      <c r="A27" s="44" t="s">
        <v>114</v>
      </c>
      <c r="B27" s="47" t="n">
        <v>2200</v>
      </c>
      <c r="C27" s="41" t="s">
        <v>113</v>
      </c>
    </row>
    <row r="28" customFormat="false" ht="15" hidden="false" customHeight="true" outlineLevel="0" collapsed="false">
      <c r="A28" s="42" t="s">
        <v>115</v>
      </c>
      <c r="B28" s="47" t="n">
        <v>1700</v>
      </c>
      <c r="C28" s="41" t="s">
        <v>113</v>
      </c>
    </row>
    <row r="29" customFormat="false" ht="15" hidden="false" customHeight="true" outlineLevel="0" collapsed="false">
      <c r="A29" s="44" t="s">
        <v>116</v>
      </c>
      <c r="B29" s="47" t="n">
        <v>1600</v>
      </c>
      <c r="C29" s="41" t="s">
        <v>117</v>
      </c>
    </row>
    <row r="30" customFormat="false" ht="15" hidden="false" customHeight="true" outlineLevel="0" collapsed="false">
      <c r="A30" s="42" t="s">
        <v>118</v>
      </c>
      <c r="B30" s="47" t="n">
        <v>1200</v>
      </c>
      <c r="C30" s="41" t="s">
        <v>119</v>
      </c>
    </row>
    <row r="31" customFormat="false" ht="15" hidden="false" customHeight="true" outlineLevel="0" collapsed="false">
      <c r="A31" s="44" t="s">
        <v>120</v>
      </c>
      <c r="B31" s="47" t="n">
        <v>1900</v>
      </c>
      <c r="C31" s="41" t="s">
        <v>119</v>
      </c>
    </row>
    <row r="32" customFormat="false" ht="15" hidden="false" customHeight="true" outlineLevel="0" collapsed="false">
      <c r="A32" s="42" t="s">
        <v>121</v>
      </c>
      <c r="B32" s="48" t="n">
        <v>0.15</v>
      </c>
      <c r="C32" s="41" t="s">
        <v>122</v>
      </c>
    </row>
    <row r="33" customFormat="false" ht="15" hidden="false" customHeight="true" outlineLevel="0" collapsed="false">
      <c r="A33" s="44" t="s">
        <v>123</v>
      </c>
      <c r="B33" s="48" t="n">
        <v>0.12</v>
      </c>
      <c r="C33" s="41" t="s">
        <v>124</v>
      </c>
    </row>
    <row r="34" customFormat="false" ht="15" hidden="false" customHeight="true" outlineLevel="0" collapsed="false">
      <c r="A34" s="42" t="s">
        <v>125</v>
      </c>
      <c r="B34" s="47" t="n">
        <v>18000</v>
      </c>
      <c r="C34" s="41" t="s">
        <v>126</v>
      </c>
    </row>
    <row r="35" customFormat="false" ht="15" hidden="false" customHeight="true" outlineLevel="0" collapsed="false">
      <c r="A35" s="44" t="s">
        <v>127</v>
      </c>
      <c r="B35" s="47" t="n">
        <v>12000</v>
      </c>
      <c r="C35" s="41" t="s">
        <v>128</v>
      </c>
    </row>
    <row r="36" customFormat="false" ht="15" hidden="false" customHeight="true" outlineLevel="0" collapsed="false">
      <c r="A36" s="42" t="s">
        <v>129</v>
      </c>
      <c r="B36" s="47" t="n">
        <v>4000</v>
      </c>
      <c r="C36" s="41" t="s">
        <v>93</v>
      </c>
    </row>
    <row r="37" customFormat="false" ht="15" hidden="false" customHeight="true" outlineLevel="0" collapsed="false">
      <c r="A37" s="44" t="s">
        <v>130</v>
      </c>
      <c r="B37" s="47" t="n">
        <v>2500</v>
      </c>
      <c r="C37" s="41" t="s">
        <v>93</v>
      </c>
    </row>
    <row r="39" customFormat="false" ht="15" hidden="false" customHeight="true" outlineLevel="0" collapsed="false">
      <c r="A39" s="24" t="s">
        <v>131</v>
      </c>
      <c r="B39" s="24"/>
      <c r="C39" s="24"/>
    </row>
    <row r="40" customFormat="false" ht="15" hidden="false" customHeight="true" outlineLevel="0" collapsed="false">
      <c r="A40" s="9" t="s">
        <v>132</v>
      </c>
      <c r="B40" s="9" t="s">
        <v>42</v>
      </c>
      <c r="C40" s="9" t="s">
        <v>133</v>
      </c>
    </row>
    <row r="41" customFormat="false" ht="15" hidden="false" customHeight="true" outlineLevel="0" collapsed="false">
      <c r="A41" s="42" t="s">
        <v>134</v>
      </c>
      <c r="B41" s="43" t="n">
        <v>24</v>
      </c>
      <c r="C41" s="41" t="s">
        <v>135</v>
      </c>
    </row>
    <row r="42" customFormat="false" ht="15" hidden="false" customHeight="true" outlineLevel="0" collapsed="false">
      <c r="A42" s="44" t="s">
        <v>136</v>
      </c>
      <c r="B42" s="43" t="n">
        <v>24</v>
      </c>
      <c r="C42" s="41" t="s">
        <v>137</v>
      </c>
    </row>
    <row r="43" customFormat="false" ht="15" hidden="false" customHeight="true" outlineLevel="0" collapsed="false">
      <c r="A43" s="42" t="s">
        <v>138</v>
      </c>
      <c r="B43" s="43" t="n">
        <v>168</v>
      </c>
      <c r="C43" s="41" t="s">
        <v>139</v>
      </c>
    </row>
    <row r="44" customFormat="false" ht="15" hidden="false" customHeight="true" outlineLevel="0" collapsed="false">
      <c r="A44" s="44" t="s">
        <v>140</v>
      </c>
      <c r="B44" s="43" t="n">
        <v>120</v>
      </c>
      <c r="C44" s="41" t="s">
        <v>141</v>
      </c>
    </row>
    <row r="45" customFormat="false" ht="15" hidden="false" customHeight="true" outlineLevel="0" collapsed="false">
      <c r="A45" s="42" t="s">
        <v>142</v>
      </c>
      <c r="B45" s="43" t="n">
        <v>120</v>
      </c>
      <c r="C45" s="41" t="s">
        <v>143</v>
      </c>
    </row>
    <row r="46" customFormat="false" ht="15" hidden="false" customHeight="true" outlineLevel="0" collapsed="false">
      <c r="A46" s="44" t="s">
        <v>144</v>
      </c>
      <c r="B46" s="43" t="n">
        <v>400</v>
      </c>
      <c r="C46" s="41" t="s">
        <v>145</v>
      </c>
    </row>
    <row r="47" customFormat="false" ht="15" hidden="false" customHeight="true" outlineLevel="0" collapsed="false">
      <c r="A47" s="42" t="s">
        <v>146</v>
      </c>
      <c r="B47" s="43" t="n">
        <v>3</v>
      </c>
      <c r="C47" s="41" t="s">
        <v>147</v>
      </c>
    </row>
    <row r="48" customFormat="false" ht="15" hidden="false" customHeight="true" outlineLevel="0" collapsed="false">
      <c r="A48" s="44" t="s">
        <v>148</v>
      </c>
      <c r="B48" s="43" t="n">
        <v>2</v>
      </c>
      <c r="C48" s="41" t="s">
        <v>149</v>
      </c>
    </row>
    <row r="49" customFormat="false" ht="15" hidden="false" customHeight="true" outlineLevel="0" collapsed="false">
      <c r="A49" s="42" t="s">
        <v>150</v>
      </c>
      <c r="B49" s="43" t="n">
        <v>4</v>
      </c>
      <c r="C49" s="41" t="s">
        <v>151</v>
      </c>
    </row>
    <row r="50" customFormat="false" ht="15" hidden="false" customHeight="true" outlineLevel="0" collapsed="false">
      <c r="A50" s="44" t="s">
        <v>152</v>
      </c>
      <c r="B50" s="43" t="n">
        <v>5</v>
      </c>
      <c r="C50" s="41" t="s">
        <v>153</v>
      </c>
    </row>
    <row r="52" customFormat="false" ht="15" hidden="false" customHeight="true" outlineLevel="0" collapsed="false">
      <c r="A52" s="24" t="s">
        <v>154</v>
      </c>
      <c r="B52" s="24"/>
      <c r="C52" s="24"/>
    </row>
    <row r="53" customFormat="false" ht="21.75" hidden="false" customHeight="true" outlineLevel="0" collapsed="false">
      <c r="A53" s="9" t="s">
        <v>132</v>
      </c>
      <c r="B53" s="9" t="s">
        <v>42</v>
      </c>
      <c r="C53" s="9" t="s">
        <v>133</v>
      </c>
    </row>
    <row r="54" customFormat="false" ht="21.75" hidden="false" customHeight="true" outlineLevel="0" collapsed="false">
      <c r="A54" s="42" t="s">
        <v>155</v>
      </c>
      <c r="B54" s="49" t="n">
        <v>0.4</v>
      </c>
      <c r="C54" s="41" t="s">
        <v>156</v>
      </c>
    </row>
    <row r="55" customFormat="false" ht="21.75" hidden="false" customHeight="true" outlineLevel="0" collapsed="false">
      <c r="A55" s="50" t="s">
        <v>157</v>
      </c>
      <c r="B55" s="49" t="n">
        <v>1.5</v>
      </c>
      <c r="C55" s="41" t="s">
        <v>158</v>
      </c>
    </row>
    <row r="56" customFormat="false" ht="21.75" hidden="false" customHeight="true" outlineLevel="0" collapsed="false">
      <c r="A56" s="42" t="s">
        <v>159</v>
      </c>
      <c r="B56" s="49" t="n">
        <v>0.4</v>
      </c>
      <c r="C56" s="41" t="s">
        <v>53</v>
      </c>
    </row>
    <row r="57" customFormat="false" ht="21.75" hidden="false" customHeight="true" outlineLevel="0" collapsed="false">
      <c r="A57" s="50" t="s">
        <v>160</v>
      </c>
      <c r="B57" s="43" t="n">
        <v>2</v>
      </c>
      <c r="C57" s="41" t="s">
        <v>161</v>
      </c>
    </row>
    <row r="58" customFormat="false" ht="15" hidden="false" customHeight="true" outlineLevel="0" collapsed="false">
      <c r="A58" s="42" t="s">
        <v>162</v>
      </c>
      <c r="B58" s="43" t="n">
        <v>6</v>
      </c>
      <c r="C58" s="41" t="s">
        <v>163</v>
      </c>
    </row>
    <row r="59" customFormat="false" ht="15" hidden="false" customHeight="true" outlineLevel="0" collapsed="false">
      <c r="A59" s="50" t="s">
        <v>164</v>
      </c>
      <c r="B59" s="43" t="n">
        <v>40</v>
      </c>
      <c r="C59" s="41" t="s">
        <v>165</v>
      </c>
    </row>
    <row r="60" customFormat="false" ht="15" hidden="false" customHeight="true" outlineLevel="0" collapsed="false">
      <c r="A60" s="42" t="s">
        <v>166</v>
      </c>
      <c r="B60" s="51" t="n">
        <v>0.25</v>
      </c>
      <c r="C60" s="41" t="s">
        <v>167</v>
      </c>
    </row>
    <row r="61" customFormat="false" ht="15" hidden="false" customHeight="true" outlineLevel="0" collapsed="false">
      <c r="A61" s="50" t="s">
        <v>168</v>
      </c>
      <c r="B61" s="43" t="n">
        <v>2</v>
      </c>
      <c r="C61" s="41" t="s">
        <v>169</v>
      </c>
    </row>
    <row r="62" customFormat="false" ht="15" hidden="false" customHeight="true" outlineLevel="0" collapsed="false">
      <c r="A62" s="42" t="s">
        <v>170</v>
      </c>
      <c r="B62" s="52" t="n">
        <v>1200</v>
      </c>
      <c r="C62" s="41" t="s">
        <v>171</v>
      </c>
    </row>
    <row r="63" customFormat="false" ht="15" hidden="false" customHeight="true" outlineLevel="0" collapsed="false">
      <c r="A63" s="50" t="s">
        <v>172</v>
      </c>
      <c r="B63" s="51" t="n">
        <v>1.3</v>
      </c>
      <c r="C63" s="41" t="s">
        <v>173</v>
      </c>
    </row>
    <row r="64" customFormat="false" ht="15" hidden="false" customHeight="true" outlineLevel="0" collapsed="false">
      <c r="A64" s="42" t="s">
        <v>174</v>
      </c>
      <c r="B64" s="43" t="n">
        <v>10</v>
      </c>
      <c r="C64" s="41" t="s">
        <v>175</v>
      </c>
    </row>
    <row r="65" customFormat="false" ht="15" hidden="false" customHeight="true" outlineLevel="0" collapsed="false">
      <c r="A65" s="50" t="s">
        <v>176</v>
      </c>
      <c r="B65" s="43" t="n">
        <v>1</v>
      </c>
      <c r="C65" s="41" t="s">
        <v>177</v>
      </c>
    </row>
    <row r="67" customFormat="false" ht="15" hidden="false" customHeight="true" outlineLevel="0" collapsed="false">
      <c r="A67" s="6" t="s">
        <v>178</v>
      </c>
      <c r="B67" s="6"/>
      <c r="C67" s="6"/>
    </row>
    <row r="68" customFormat="false" ht="15" hidden="false" customHeight="true" outlineLevel="0" collapsed="false">
      <c r="A68" s="9" t="s">
        <v>110</v>
      </c>
      <c r="B68" s="9" t="s">
        <v>42</v>
      </c>
      <c r="C68" s="9" t="s">
        <v>111</v>
      </c>
    </row>
    <row r="69" customFormat="false" ht="15" hidden="false" customHeight="true" outlineLevel="0" collapsed="false">
      <c r="A69" s="50" t="s">
        <v>179</v>
      </c>
      <c r="B69" s="53" t="n">
        <v>19.99</v>
      </c>
      <c r="C69" s="41" t="s">
        <v>180</v>
      </c>
    </row>
    <row r="70" customFormat="false" ht="15" hidden="false" customHeight="true" outlineLevel="0" collapsed="false">
      <c r="A70" s="42" t="s">
        <v>181</v>
      </c>
      <c r="B70" s="48" t="n">
        <v>0.8</v>
      </c>
      <c r="C70" s="41" t="s">
        <v>182</v>
      </c>
    </row>
    <row r="71" customFormat="false" ht="15" hidden="false" customHeight="true" outlineLevel="0" collapsed="false">
      <c r="A71" s="50" t="s">
        <v>183</v>
      </c>
      <c r="B71" s="48" t="n">
        <v>0.08</v>
      </c>
      <c r="C71" s="41" t="s">
        <v>184</v>
      </c>
    </row>
    <row r="72" customFormat="false" ht="15" hidden="false" customHeight="true" outlineLevel="0" collapsed="false">
      <c r="A72" s="42" t="s">
        <v>185</v>
      </c>
      <c r="B72" s="48" t="n">
        <v>0.3</v>
      </c>
      <c r="C72" s="41" t="s">
        <v>186</v>
      </c>
    </row>
    <row r="73" customFormat="false" ht="15" hidden="false" customHeight="true" outlineLevel="0" collapsed="false">
      <c r="A73" s="50" t="s">
        <v>187</v>
      </c>
      <c r="B73" s="48" t="n">
        <v>0.1</v>
      </c>
      <c r="C73" s="41" t="s">
        <v>188</v>
      </c>
    </row>
    <row r="74" customFormat="false" ht="15" hidden="false" customHeight="true" outlineLevel="0" collapsed="false">
      <c r="A74" s="42" t="s">
        <v>189</v>
      </c>
      <c r="B74" s="48" t="n">
        <v>0.05</v>
      </c>
      <c r="C74" s="41" t="s">
        <v>190</v>
      </c>
    </row>
    <row r="75" customFormat="false" ht="15" hidden="false" customHeight="true" outlineLevel="0" collapsed="false">
      <c r="A75" s="50" t="s">
        <v>191</v>
      </c>
      <c r="B75" s="47" t="n">
        <v>100</v>
      </c>
      <c r="C75" s="41" t="s">
        <v>192</v>
      </c>
    </row>
    <row r="76" customFormat="false" ht="15" hidden="false" customHeight="true" outlineLevel="0" collapsed="false">
      <c r="A76" s="42" t="s">
        <v>193</v>
      </c>
      <c r="B76" s="47" t="n">
        <v>3000</v>
      </c>
      <c r="C76" s="41" t="s">
        <v>194</v>
      </c>
    </row>
    <row r="77" customFormat="false" ht="15" hidden="false" customHeight="true" outlineLevel="0" collapsed="false">
      <c r="A77" s="50" t="s">
        <v>195</v>
      </c>
      <c r="B77" s="52" t="n">
        <v>2000</v>
      </c>
      <c r="C77" s="41" t="s">
        <v>196</v>
      </c>
    </row>
    <row r="78" customFormat="false" ht="15" hidden="false" customHeight="true" outlineLevel="0" collapsed="false">
      <c r="A78" s="42" t="s">
        <v>197</v>
      </c>
      <c r="B78" s="52" t="n">
        <v>5000</v>
      </c>
      <c r="C78" s="41" t="s">
        <v>196</v>
      </c>
    </row>
    <row r="79" customFormat="false" ht="15" hidden="false" customHeight="true" outlineLevel="0" collapsed="false">
      <c r="A79" s="50" t="s">
        <v>198</v>
      </c>
      <c r="B79" s="52" t="n">
        <v>10000</v>
      </c>
      <c r="C79" s="41" t="s">
        <v>196</v>
      </c>
    </row>
    <row r="80" customFormat="false" ht="15" hidden="false" customHeight="true" outlineLevel="0" collapsed="false">
      <c r="A80" s="42" t="s">
        <v>199</v>
      </c>
      <c r="B80" s="52" t="n">
        <v>25000</v>
      </c>
      <c r="C80" s="41" t="s">
        <v>196</v>
      </c>
    </row>
    <row r="81" customFormat="false" ht="15" hidden="false" customHeight="true" outlineLevel="0" collapsed="false">
      <c r="A81" s="50" t="s">
        <v>200</v>
      </c>
      <c r="B81" s="52" t="n">
        <v>50000</v>
      </c>
      <c r="C81" s="41" t="s">
        <v>196</v>
      </c>
    </row>
    <row r="83" customFormat="false" ht="15" hidden="false" customHeight="true" outlineLevel="0" collapsed="false">
      <c r="A83" s="6" t="s">
        <v>201</v>
      </c>
      <c r="B83" s="6"/>
      <c r="C83" s="6"/>
    </row>
    <row r="84" customFormat="false" ht="27" hidden="false" customHeight="true" outlineLevel="0" collapsed="false">
      <c r="A84" s="54" t="s">
        <v>202</v>
      </c>
      <c r="B84" s="54"/>
      <c r="C84" s="54"/>
    </row>
    <row r="85" customFormat="false" ht="27" hidden="false" customHeight="true" outlineLevel="0" collapsed="false">
      <c r="A85" s="54" t="s">
        <v>203</v>
      </c>
      <c r="B85" s="54"/>
      <c r="C85" s="54"/>
    </row>
    <row r="86" customFormat="false" ht="27" hidden="false" customHeight="true" outlineLevel="0" collapsed="false">
      <c r="A86" s="54" t="s">
        <v>204</v>
      </c>
      <c r="B86" s="54"/>
      <c r="C86" s="54"/>
    </row>
    <row r="87" customFormat="false" ht="27" hidden="false" customHeight="true" outlineLevel="0" collapsed="false">
      <c r="A87" s="54" t="s">
        <v>205</v>
      </c>
      <c r="B87" s="54"/>
      <c r="C87" s="54"/>
    </row>
    <row r="88" customFormat="false" ht="27" hidden="false" customHeight="true" outlineLevel="0" collapsed="false">
      <c r="A88" s="54" t="s">
        <v>206</v>
      </c>
      <c r="B88" s="54"/>
      <c r="C88" s="54"/>
    </row>
    <row r="89" customFormat="false" ht="27" hidden="false" customHeight="true" outlineLevel="0" collapsed="false">
      <c r="A89" s="54" t="s">
        <v>207</v>
      </c>
      <c r="B89" s="54"/>
      <c r="C89" s="54"/>
    </row>
    <row r="90" customFormat="false" ht="27" hidden="false" customHeight="true" outlineLevel="0" collapsed="false">
      <c r="A90" s="54" t="s">
        <v>208</v>
      </c>
      <c r="B90" s="54"/>
      <c r="C90" s="54"/>
    </row>
    <row r="91" customFormat="false" ht="27" hidden="false" customHeight="true" outlineLevel="0" collapsed="false">
      <c r="A91" s="54" t="s">
        <v>209</v>
      </c>
      <c r="B91" s="54"/>
      <c r="C91" s="54"/>
    </row>
    <row r="92" customFormat="false" ht="27" hidden="false" customHeight="true" outlineLevel="0" collapsed="false">
      <c r="A92" s="54" t="s">
        <v>210</v>
      </c>
      <c r="B92" s="54"/>
      <c r="C92" s="54"/>
    </row>
    <row r="94" customFormat="false" ht="15" hidden="false" customHeight="true" outlineLevel="0" collapsed="false">
      <c r="A94" s="24" t="s">
        <v>211</v>
      </c>
      <c r="B94" s="24"/>
      <c r="C94" s="24"/>
    </row>
    <row r="95" customFormat="false" ht="15" hidden="false" customHeight="true" outlineLevel="0" collapsed="false">
      <c r="A95" s="9" t="s">
        <v>132</v>
      </c>
      <c r="B95" s="9" t="s">
        <v>42</v>
      </c>
      <c r="C95" s="9" t="s">
        <v>133</v>
      </c>
    </row>
    <row r="96" customFormat="false" ht="15" hidden="false" customHeight="true" outlineLevel="0" collapsed="false">
      <c r="A96" s="42" t="s">
        <v>212</v>
      </c>
      <c r="B96" s="43" t="n">
        <v>145</v>
      </c>
      <c r="C96" s="41" t="s">
        <v>213</v>
      </c>
    </row>
    <row r="97" customFormat="false" ht="15" hidden="false" customHeight="true" outlineLevel="0" collapsed="false">
      <c r="A97" s="50" t="s">
        <v>214</v>
      </c>
      <c r="B97" s="43" t="n">
        <v>273</v>
      </c>
      <c r="C97" s="41" t="s">
        <v>215</v>
      </c>
    </row>
    <row r="98" customFormat="false" ht="15" hidden="false" customHeight="true" outlineLevel="0" collapsed="false">
      <c r="A98" s="42" t="s">
        <v>216</v>
      </c>
      <c r="B98" s="43" t="n">
        <v>24</v>
      </c>
      <c r="C98" s="41" t="s">
        <v>217</v>
      </c>
    </row>
    <row r="99" customFormat="false" ht="15" hidden="false" customHeight="true" outlineLevel="0" collapsed="false">
      <c r="A99" s="50" t="s">
        <v>218</v>
      </c>
      <c r="B99" s="51" t="n">
        <v>1.25</v>
      </c>
      <c r="C99" s="41" t="s">
        <v>219</v>
      </c>
    </row>
    <row r="100" customFormat="false" ht="15" hidden="false" customHeight="true" outlineLevel="0" collapsed="false">
      <c r="A100" s="42" t="s">
        <v>220</v>
      </c>
      <c r="B100" s="51" t="n">
        <v>1</v>
      </c>
      <c r="C100" s="41" t="s">
        <v>219</v>
      </c>
    </row>
    <row r="101" customFormat="false" ht="15" hidden="false" customHeight="true" outlineLevel="0" collapsed="false">
      <c r="A101" s="50" t="s">
        <v>221</v>
      </c>
      <c r="B101" s="51" t="n">
        <v>0.15</v>
      </c>
      <c r="C101" s="41" t="s">
        <v>222</v>
      </c>
    </row>
    <row r="102" customFormat="false" ht="15" hidden="false" customHeight="true" outlineLevel="0" collapsed="false">
      <c r="A102" s="42" t="s">
        <v>223</v>
      </c>
      <c r="B102" s="51" t="n">
        <v>0.08</v>
      </c>
      <c r="C102" s="41" t="s">
        <v>224</v>
      </c>
    </row>
    <row r="103" customFormat="false" ht="15" hidden="false" customHeight="true" outlineLevel="0" collapsed="false">
      <c r="A103" s="50" t="s">
        <v>225</v>
      </c>
      <c r="B103" s="51" t="n">
        <v>0.12</v>
      </c>
      <c r="C103" s="41" t="s">
        <v>224</v>
      </c>
    </row>
    <row r="104" customFormat="false" ht="15" hidden="false" customHeight="true" outlineLevel="0" collapsed="false">
      <c r="A104" s="42" t="s">
        <v>226</v>
      </c>
      <c r="B104" s="51" t="n">
        <v>0.02</v>
      </c>
      <c r="C104" s="41" t="s">
        <v>224</v>
      </c>
    </row>
    <row r="105" customFormat="false" ht="15" hidden="false" customHeight="true" outlineLevel="0" collapsed="false">
      <c r="A105" s="50" t="s">
        <v>227</v>
      </c>
      <c r="B105" s="51" t="n">
        <v>0.1</v>
      </c>
      <c r="C105" s="41" t="s">
        <v>228</v>
      </c>
    </row>
    <row r="106" customFormat="false" ht="15" hidden="false" customHeight="true" outlineLevel="0" collapsed="false">
      <c r="A106" s="42" t="s">
        <v>229</v>
      </c>
      <c r="B106" s="55" t="n">
        <v>0.0005</v>
      </c>
      <c r="C106" s="41" t="s">
        <v>230</v>
      </c>
    </row>
    <row r="107" customFormat="false" ht="15" hidden="false" customHeight="true" outlineLevel="0" collapsed="false">
      <c r="A107" s="50" t="s">
        <v>231</v>
      </c>
      <c r="B107" s="55" t="n">
        <v>0.0015</v>
      </c>
      <c r="C107" s="41" t="s">
        <v>230</v>
      </c>
    </row>
    <row r="108" customFormat="false" ht="15" hidden="false" customHeight="true" outlineLevel="0" collapsed="false">
      <c r="A108" s="42" t="s">
        <v>232</v>
      </c>
      <c r="B108" s="55" t="n">
        <v>0.004</v>
      </c>
      <c r="C108" s="41" t="s">
        <v>230</v>
      </c>
    </row>
    <row r="109" customFormat="false" ht="15" hidden="false" customHeight="true" outlineLevel="0" collapsed="false">
      <c r="A109" s="50" t="s">
        <v>233</v>
      </c>
      <c r="B109" s="51" t="n">
        <v>0.05</v>
      </c>
      <c r="C109" s="41" t="s">
        <v>230</v>
      </c>
    </row>
    <row r="110" customFormat="false" ht="15" hidden="false" customHeight="true" outlineLevel="0" collapsed="false">
      <c r="A110" s="42" t="s">
        <v>234</v>
      </c>
      <c r="B110" s="43" t="n">
        <v>5</v>
      </c>
      <c r="C110" s="41" t="s">
        <v>230</v>
      </c>
    </row>
    <row r="111" customFormat="false" ht="15" hidden="false" customHeight="true" outlineLevel="0" collapsed="false">
      <c r="A111" s="50" t="s">
        <v>235</v>
      </c>
      <c r="B111" s="43" t="n">
        <v>3</v>
      </c>
      <c r="C111" s="41" t="s">
        <v>236</v>
      </c>
    </row>
    <row r="112" customFormat="false" ht="15" hidden="false" customHeight="true" outlineLevel="0" collapsed="false">
      <c r="A112" s="42" t="s">
        <v>237</v>
      </c>
      <c r="B112" s="43" t="n">
        <v>18</v>
      </c>
      <c r="C112" s="41" t="s">
        <v>238</v>
      </c>
    </row>
    <row r="113" customFormat="false" ht="15" hidden="false" customHeight="true" outlineLevel="0" collapsed="false">
      <c r="A113" s="50" t="s">
        <v>239</v>
      </c>
      <c r="B113" s="56" t="s">
        <v>240</v>
      </c>
      <c r="C113" s="41" t="s">
        <v>241</v>
      </c>
    </row>
    <row r="114" customFormat="false" ht="15" hidden="false" customHeight="true" outlineLevel="0" collapsed="false">
      <c r="A114" s="42" t="s">
        <v>242</v>
      </c>
      <c r="B114" s="43" t="n">
        <v>-3</v>
      </c>
      <c r="C114" s="41" t="s">
        <v>243</v>
      </c>
    </row>
    <row r="115" customFormat="false" ht="15" hidden="false" customHeight="true" outlineLevel="0" collapsed="false">
      <c r="A115" s="50" t="s">
        <v>244</v>
      </c>
      <c r="B115" s="43" t="n">
        <v>-10</v>
      </c>
      <c r="C115" s="41" t="s">
        <v>243</v>
      </c>
    </row>
    <row r="116" customFormat="false" ht="15" hidden="false" customHeight="true" outlineLevel="0" collapsed="false">
      <c r="A116" s="42" t="s">
        <v>245</v>
      </c>
      <c r="B116" s="43" t="n">
        <v>8</v>
      </c>
      <c r="C116" s="41" t="s">
        <v>243</v>
      </c>
    </row>
    <row r="117" customFormat="false" ht="15" hidden="false" customHeight="true" outlineLevel="0" collapsed="false">
      <c r="A117" s="50" t="s">
        <v>246</v>
      </c>
      <c r="B117" s="43" t="n">
        <v>2</v>
      </c>
      <c r="C117" s="41" t="s">
        <v>243</v>
      </c>
    </row>
    <row r="118" customFormat="false" ht="15" hidden="false" customHeight="true" outlineLevel="0" collapsed="false">
      <c r="A118" s="42" t="s">
        <v>247</v>
      </c>
      <c r="B118" s="43" t="n">
        <v>15</v>
      </c>
      <c r="C118" s="41" t="s">
        <v>248</v>
      </c>
    </row>
    <row r="119" customFormat="false" ht="15" hidden="false" customHeight="true" outlineLevel="0" collapsed="false">
      <c r="A119" s="42" t="s">
        <v>249</v>
      </c>
      <c r="B119" s="43" t="n">
        <v>25</v>
      </c>
      <c r="C119" s="41" t="s">
        <v>250</v>
      </c>
    </row>
    <row r="120" customFormat="false" ht="15" hidden="false" customHeight="true" outlineLevel="0" collapsed="false">
      <c r="A120" s="42" t="s">
        <v>251</v>
      </c>
      <c r="B120" s="43" t="n">
        <v>6</v>
      </c>
      <c r="C120" s="41" t="s">
        <v>252</v>
      </c>
    </row>
    <row r="122" customFormat="false" ht="15" hidden="false" customHeight="true" outlineLevel="0" collapsed="false">
      <c r="A122" s="24" t="s">
        <v>253</v>
      </c>
      <c r="B122" s="24"/>
      <c r="C122" s="24"/>
    </row>
    <row r="123" customFormat="false" ht="15" hidden="false" customHeight="true" outlineLevel="0" collapsed="false">
      <c r="A123" s="9" t="s">
        <v>132</v>
      </c>
      <c r="B123" s="9" t="s">
        <v>42</v>
      </c>
      <c r="C123" s="9" t="s">
        <v>133</v>
      </c>
    </row>
    <row r="124" customFormat="false" ht="15" hidden="false" customHeight="true" outlineLevel="0" collapsed="false">
      <c r="A124" s="42" t="s">
        <v>254</v>
      </c>
      <c r="B124" s="43" t="n">
        <v>16</v>
      </c>
      <c r="C124" s="41" t="s">
        <v>255</v>
      </c>
    </row>
    <row r="125" customFormat="false" ht="15" hidden="false" customHeight="true" outlineLevel="0" collapsed="false">
      <c r="A125" s="50" t="s">
        <v>256</v>
      </c>
      <c r="B125" s="43" t="n">
        <v>8</v>
      </c>
      <c r="C125" s="41" t="s">
        <v>257</v>
      </c>
    </row>
    <row r="126" customFormat="false" ht="15" hidden="false" customHeight="true" outlineLevel="0" collapsed="false">
      <c r="A126" s="42" t="s">
        <v>258</v>
      </c>
      <c r="B126" s="51" t="n">
        <v>3</v>
      </c>
      <c r="C126" s="41" t="s">
        <v>259</v>
      </c>
    </row>
    <row r="127" customFormat="false" ht="15" hidden="false" customHeight="true" outlineLevel="0" collapsed="false">
      <c r="A127" s="50" t="s">
        <v>260</v>
      </c>
      <c r="B127" s="49" t="n">
        <v>6</v>
      </c>
      <c r="C127" s="41" t="s">
        <v>261</v>
      </c>
    </row>
    <row r="128" customFormat="false" ht="15" hidden="false" customHeight="true" outlineLevel="0" collapsed="false">
      <c r="A128" s="42" t="s">
        <v>262</v>
      </c>
      <c r="B128" s="49" t="n">
        <v>4</v>
      </c>
      <c r="C128" s="41" t="s">
        <v>263</v>
      </c>
    </row>
    <row r="129" customFormat="false" ht="15" hidden="false" customHeight="true" outlineLevel="0" collapsed="false">
      <c r="A129" s="50" t="s">
        <v>264</v>
      </c>
      <c r="B129" s="51" t="n">
        <v>0.05</v>
      </c>
      <c r="C129" s="41" t="s">
        <v>265</v>
      </c>
    </row>
    <row r="130" customFormat="false" ht="15" hidden="false" customHeight="true" outlineLevel="0" collapsed="false">
      <c r="A130" s="42" t="s">
        <v>266</v>
      </c>
      <c r="B130" s="51" t="n">
        <v>0.15</v>
      </c>
      <c r="C130" s="41" t="s">
        <v>267</v>
      </c>
    </row>
    <row r="131" customFormat="false" ht="15" hidden="false" customHeight="true" outlineLevel="0" collapsed="false">
      <c r="A131" s="50" t="s">
        <v>268</v>
      </c>
      <c r="B131" s="43" t="n">
        <v>213</v>
      </c>
      <c r="C131" s="41" t="s">
        <v>269</v>
      </c>
    </row>
    <row r="132" customFormat="false" ht="15" hidden="false" customHeight="true" outlineLevel="0" collapsed="false">
      <c r="A132" s="42" t="s">
        <v>270</v>
      </c>
      <c r="B132" s="49" t="n">
        <v>2</v>
      </c>
      <c r="C132" s="41" t="s">
        <v>271</v>
      </c>
    </row>
    <row r="133" customFormat="false" ht="15" hidden="false" customHeight="true" outlineLevel="0" collapsed="false">
      <c r="A133" s="50" t="s">
        <v>272</v>
      </c>
      <c r="B133" s="43" t="n">
        <v>3</v>
      </c>
      <c r="C133" s="41" t="s">
        <v>273</v>
      </c>
    </row>
    <row r="134" customFormat="false" ht="15" hidden="false" customHeight="true" outlineLevel="0" collapsed="false">
      <c r="A134" s="42" t="s">
        <v>274</v>
      </c>
      <c r="B134" s="43" t="n">
        <v>1</v>
      </c>
      <c r="C134" s="41" t="s">
        <v>275</v>
      </c>
    </row>
    <row r="135" customFormat="false" ht="15" hidden="false" customHeight="true" outlineLevel="0" collapsed="false">
      <c r="A135" s="50" t="s">
        <v>276</v>
      </c>
      <c r="B135" s="43" t="n">
        <v>145</v>
      </c>
      <c r="C135" s="41" t="s">
        <v>277</v>
      </c>
    </row>
    <row r="136" customFormat="false" ht="15" hidden="false" customHeight="true" outlineLevel="0" collapsed="false">
      <c r="A136" s="42" t="s">
        <v>278</v>
      </c>
      <c r="B136" s="43" t="n">
        <v>3</v>
      </c>
      <c r="C136" s="41" t="s">
        <v>279</v>
      </c>
    </row>
    <row r="137" customFormat="false" ht="15" hidden="false" customHeight="true" outlineLevel="0" collapsed="false">
      <c r="A137" s="50" t="s">
        <v>280</v>
      </c>
      <c r="B137" s="43" t="n">
        <v>540</v>
      </c>
      <c r="C137" s="41" t="s">
        <v>281</v>
      </c>
    </row>
    <row r="138" customFormat="false" ht="15" hidden="false" customHeight="true" outlineLevel="0" collapsed="false">
      <c r="A138" s="50" t="s">
        <v>282</v>
      </c>
      <c r="B138" s="43" t="n">
        <v>305</v>
      </c>
      <c r="C138" s="41" t="s">
        <v>283</v>
      </c>
    </row>
    <row r="139" customFormat="false" ht="15" hidden="false" customHeight="true" outlineLevel="0" collapsed="false">
      <c r="A139" s="42" t="s">
        <v>284</v>
      </c>
      <c r="B139" s="43" t="n">
        <v>110</v>
      </c>
      <c r="C139" s="41" t="s">
        <v>285</v>
      </c>
    </row>
    <row r="140" customFormat="false" ht="15" hidden="false" customHeight="true" outlineLevel="0" collapsed="false">
      <c r="A140" s="50" t="s">
        <v>286</v>
      </c>
      <c r="B140" s="43" t="n">
        <v>290</v>
      </c>
      <c r="C140" s="41" t="s">
        <v>287</v>
      </c>
    </row>
    <row r="141" customFormat="false" ht="15" hidden="false" customHeight="true" outlineLevel="0" collapsed="false">
      <c r="A141" s="42" t="s">
        <v>288</v>
      </c>
      <c r="B141" s="43" t="n">
        <v>15</v>
      </c>
      <c r="C141" s="41" t="s">
        <v>289</v>
      </c>
    </row>
    <row r="142" customFormat="false" ht="15" hidden="false" customHeight="true" outlineLevel="0" collapsed="false">
      <c r="A142" s="50" t="s">
        <v>290</v>
      </c>
      <c r="B142" s="51" t="n">
        <v>0.9</v>
      </c>
      <c r="C142" s="41" t="s">
        <v>291</v>
      </c>
    </row>
    <row r="143" customFormat="false" ht="15" hidden="false" customHeight="true" outlineLevel="0" collapsed="false">
      <c r="A143" s="42" t="s">
        <v>292</v>
      </c>
      <c r="B143" s="51" t="n">
        <v>0.3</v>
      </c>
      <c r="C143" s="41" t="s">
        <v>293</v>
      </c>
    </row>
    <row r="144" customFormat="false" ht="15" hidden="false" customHeight="true" outlineLevel="0" collapsed="false">
      <c r="A144" s="50" t="s">
        <v>294</v>
      </c>
      <c r="B144" s="51" t="n">
        <v>0.5</v>
      </c>
      <c r="C144" s="41" t="s">
        <v>295</v>
      </c>
    </row>
    <row r="145" customFormat="false" ht="15" hidden="false" customHeight="true" outlineLevel="0" collapsed="false">
      <c r="A145" s="42" t="s">
        <v>296</v>
      </c>
      <c r="B145" s="51" t="n">
        <v>0.3</v>
      </c>
      <c r="C145" s="41" t="s">
        <v>297</v>
      </c>
    </row>
    <row r="146" customFormat="false" ht="15" hidden="false" customHeight="true" outlineLevel="0" collapsed="false">
      <c r="A146" s="50" t="s">
        <v>298</v>
      </c>
      <c r="B146" s="51" t="n">
        <v>1.5</v>
      </c>
      <c r="C146" s="41" t="s">
        <v>299</v>
      </c>
    </row>
    <row r="147" customFormat="false" ht="15" hidden="false" customHeight="true" outlineLevel="0" collapsed="false">
      <c r="A147" s="42" t="s">
        <v>300</v>
      </c>
      <c r="B147" s="51" t="n">
        <v>0.5</v>
      </c>
      <c r="C147" s="41" t="s">
        <v>301</v>
      </c>
    </row>
    <row r="148" customFormat="false" ht="15" hidden="false" customHeight="true" outlineLevel="0" collapsed="false">
      <c r="A148" s="50" t="s">
        <v>302</v>
      </c>
      <c r="B148" s="43" t="n">
        <v>6</v>
      </c>
      <c r="C148" s="41" t="s">
        <v>303</v>
      </c>
    </row>
    <row r="149" customFormat="false" ht="15" hidden="false" customHeight="true" outlineLevel="0" collapsed="false">
      <c r="A149" s="42" t="s">
        <v>304</v>
      </c>
      <c r="B149" s="51" t="n">
        <v>0.02</v>
      </c>
      <c r="C149" s="41" t="s">
        <v>305</v>
      </c>
    </row>
    <row r="150" customFormat="false" ht="15" hidden="false" customHeight="true" outlineLevel="0" collapsed="false">
      <c r="A150" s="50" t="s">
        <v>306</v>
      </c>
      <c r="B150" s="51" t="n">
        <v>0.06</v>
      </c>
      <c r="C150" s="41" t="s">
        <v>307</v>
      </c>
    </row>
    <row r="151" customFormat="false" ht="15" hidden="false" customHeight="true" outlineLevel="0" collapsed="false">
      <c r="A151" s="42" t="s">
        <v>308</v>
      </c>
      <c r="B151" s="51" t="n">
        <v>1.5</v>
      </c>
      <c r="C151" s="41" t="s">
        <v>309</v>
      </c>
    </row>
    <row r="152" customFormat="false" ht="15" hidden="false" customHeight="true" outlineLevel="0" collapsed="false">
      <c r="A152" s="50" t="s">
        <v>310</v>
      </c>
      <c r="B152" s="43" t="n">
        <v>160</v>
      </c>
      <c r="C152" s="41" t="s">
        <v>311</v>
      </c>
    </row>
    <row r="153" customFormat="false" ht="15" hidden="false" customHeight="true" outlineLevel="0" collapsed="false">
      <c r="A153" s="42" t="s">
        <v>312</v>
      </c>
      <c r="B153" s="51" t="n">
        <v>0.07</v>
      </c>
      <c r="C153" s="41" t="s">
        <v>313</v>
      </c>
    </row>
    <row r="154" customFormat="false" ht="15" hidden="false" customHeight="true" outlineLevel="0" collapsed="false">
      <c r="A154" s="50" t="s">
        <v>314</v>
      </c>
      <c r="B154" s="43" t="n">
        <v>75</v>
      </c>
      <c r="C154" s="41" t="s">
        <v>315</v>
      </c>
    </row>
    <row r="155" customFormat="false" ht="15" hidden="false" customHeight="true" outlineLevel="0" collapsed="false">
      <c r="A155" s="42" t="s">
        <v>316</v>
      </c>
      <c r="B155" s="51" t="n">
        <v>1.4</v>
      </c>
      <c r="C155" s="41" t="s">
        <v>317</v>
      </c>
    </row>
    <row r="156" customFormat="false" ht="15" hidden="false" customHeight="true" outlineLevel="0" collapsed="false">
      <c r="A156" s="50" t="s">
        <v>318</v>
      </c>
      <c r="B156" s="51" t="n">
        <v>0.05</v>
      </c>
      <c r="C156" s="41" t="s">
        <v>319</v>
      </c>
    </row>
    <row r="157" customFormat="false" ht="15" hidden="false" customHeight="true" outlineLevel="0" collapsed="false">
      <c r="A157" s="42" t="s">
        <v>320</v>
      </c>
      <c r="B157" s="51" t="n">
        <v>0.7</v>
      </c>
      <c r="C157" s="41" t="s">
        <v>321</v>
      </c>
    </row>
    <row r="158" customFormat="false" ht="15" hidden="false" customHeight="true" outlineLevel="0" collapsed="false">
      <c r="A158" s="50" t="s">
        <v>322</v>
      </c>
      <c r="B158" s="51" t="n">
        <v>0.5</v>
      </c>
      <c r="C158" s="41" t="s">
        <v>323</v>
      </c>
    </row>
    <row r="160" customFormat="false" ht="15" hidden="false" customHeight="false" outlineLevel="0" collapsed="false">
      <c r="A160" s="24" t="s">
        <v>324</v>
      </c>
      <c r="B160" s="24"/>
      <c r="C160" s="24"/>
    </row>
    <row r="161" customFormat="false" ht="15" hidden="false" customHeight="false" outlineLevel="0" collapsed="false">
      <c r="A161" s="9" t="s">
        <v>132</v>
      </c>
      <c r="B161" s="9" t="s">
        <v>42</v>
      </c>
      <c r="C161" s="9" t="s">
        <v>133</v>
      </c>
    </row>
    <row r="162" customFormat="false" ht="15" hidden="false" customHeight="false" outlineLevel="0" collapsed="false">
      <c r="A162" s="42" t="s">
        <v>325</v>
      </c>
      <c r="B162" s="43" t="n">
        <v>15</v>
      </c>
      <c r="C162" s="41" t="s">
        <v>326</v>
      </c>
    </row>
    <row r="163" customFormat="false" ht="15" hidden="false" customHeight="false" outlineLevel="0" collapsed="false">
      <c r="A163" s="50" t="s">
        <v>327</v>
      </c>
      <c r="B163" s="51" t="n">
        <v>0.06</v>
      </c>
      <c r="C163" s="41" t="s">
        <v>328</v>
      </c>
    </row>
    <row r="164" customFormat="false" ht="15" hidden="false" customHeight="false" outlineLevel="0" collapsed="false">
      <c r="A164" s="42" t="s">
        <v>329</v>
      </c>
      <c r="B164" s="51" t="n">
        <v>0.01</v>
      </c>
      <c r="C164" s="41" t="s">
        <v>330</v>
      </c>
    </row>
    <row r="165" customFormat="false" ht="15" hidden="false" customHeight="false" outlineLevel="0" collapsed="false">
      <c r="A165" s="50" t="s">
        <v>331</v>
      </c>
      <c r="B165" s="43" t="n">
        <v>10</v>
      </c>
      <c r="C165" s="41" t="s">
        <v>332</v>
      </c>
    </row>
    <row r="166" customFormat="false" ht="15" hidden="false" customHeight="false" outlineLevel="0" collapsed="false">
      <c r="A166" s="42" t="s">
        <v>333</v>
      </c>
      <c r="B166" s="56" t="s">
        <v>334</v>
      </c>
      <c r="C166" s="41" t="s">
        <v>335</v>
      </c>
    </row>
    <row r="167" customFormat="false" ht="15" hidden="false" customHeight="false" outlineLevel="0" collapsed="false">
      <c r="A167" s="50" t="s">
        <v>336</v>
      </c>
      <c r="B167" s="49" t="n">
        <v>2</v>
      </c>
      <c r="C167" s="41" t="s">
        <v>337</v>
      </c>
    </row>
    <row r="168" customFormat="false" ht="15" hidden="false" customHeight="false" outlineLevel="0" collapsed="false">
      <c r="A168" s="42" t="s">
        <v>338</v>
      </c>
      <c r="B168" s="51" t="n">
        <v>0.05</v>
      </c>
      <c r="C168" s="41" t="s">
        <v>339</v>
      </c>
    </row>
    <row r="169" customFormat="false" ht="15" hidden="false" customHeight="false" outlineLevel="0" collapsed="false">
      <c r="A169" s="50" t="s">
        <v>340</v>
      </c>
      <c r="B169" s="43" t="n">
        <v>20</v>
      </c>
      <c r="C169" s="41" t="s">
        <v>341</v>
      </c>
    </row>
    <row r="170" customFormat="false" ht="15" hidden="false" customHeight="false" outlineLevel="0" collapsed="false">
      <c r="A170" s="42" t="s">
        <v>342</v>
      </c>
      <c r="B170" s="43" t="n">
        <v>5</v>
      </c>
      <c r="C170" s="41" t="s">
        <v>343</v>
      </c>
    </row>
    <row r="171" customFormat="false" ht="15" hidden="false" customHeight="false" outlineLevel="0" collapsed="false">
      <c r="A171" s="50" t="s">
        <v>344</v>
      </c>
      <c r="B171" s="43" t="n">
        <v>10</v>
      </c>
      <c r="C171" s="41" t="s">
        <v>345</v>
      </c>
    </row>
    <row r="172" customFormat="false" ht="15" hidden="false" customHeight="false" outlineLevel="0" collapsed="false">
      <c r="A172" s="42" t="s">
        <v>346</v>
      </c>
      <c r="B172" s="51" t="n">
        <v>0.25</v>
      </c>
      <c r="C172" s="41" t="s">
        <v>347</v>
      </c>
    </row>
    <row r="173" customFormat="false" ht="15" hidden="false" customHeight="false" outlineLevel="0" collapsed="false">
      <c r="A173" s="50" t="s">
        <v>348</v>
      </c>
      <c r="B173" s="49" t="n">
        <v>3</v>
      </c>
      <c r="C173" s="41" t="s">
        <v>349</v>
      </c>
    </row>
    <row r="174" customFormat="false" ht="15" hidden="false" customHeight="false" outlineLevel="0" collapsed="false">
      <c r="A174" s="42" t="s">
        <v>350</v>
      </c>
      <c r="B174" s="43" t="n">
        <v>2</v>
      </c>
      <c r="C174" s="41" t="s">
        <v>351</v>
      </c>
    </row>
    <row r="175" customFormat="false" ht="15" hidden="false" customHeight="false" outlineLevel="0" collapsed="false">
      <c r="A175" s="50" t="s">
        <v>352</v>
      </c>
      <c r="B175" s="51" t="n">
        <v>0.25</v>
      </c>
      <c r="C175" s="41" t="s">
        <v>353</v>
      </c>
    </row>
    <row r="176" customFormat="false" ht="15" hidden="false" customHeight="false" outlineLevel="0" collapsed="false">
      <c r="A176" s="42" t="s">
        <v>354</v>
      </c>
      <c r="B176" s="43" t="n">
        <v>2</v>
      </c>
      <c r="C176" s="41" t="s">
        <v>355</v>
      </c>
    </row>
    <row r="177" customFormat="false" ht="15" hidden="false" customHeight="false" outlineLevel="0" collapsed="false">
      <c r="A177" s="50" t="s">
        <v>356</v>
      </c>
      <c r="B177" s="49" t="n">
        <v>0.5</v>
      </c>
      <c r="C177" s="41" t="s">
        <v>357</v>
      </c>
    </row>
    <row r="178" customFormat="false" ht="15" hidden="false" customHeight="false" outlineLevel="0" collapsed="false">
      <c r="A178" s="42" t="s">
        <v>358</v>
      </c>
      <c r="B178" s="51" t="n">
        <v>0.3</v>
      </c>
      <c r="C178" s="41" t="s">
        <v>359</v>
      </c>
    </row>
    <row r="179" customFormat="false" ht="15" hidden="false" customHeight="false" outlineLevel="0" collapsed="false">
      <c r="A179" s="50" t="s">
        <v>360</v>
      </c>
      <c r="B179" s="43" t="n">
        <v>10</v>
      </c>
      <c r="C179" s="41" t="s">
        <v>177</v>
      </c>
    </row>
  </sheetData>
  <autoFilter ref="A15:C21"/>
  <mergeCells count="21">
    <mergeCell ref="A1:F1"/>
    <mergeCell ref="A2:F2"/>
    <mergeCell ref="A4:B4"/>
    <mergeCell ref="A14:C14"/>
    <mergeCell ref="A24:C24"/>
    <mergeCell ref="A39:C39"/>
    <mergeCell ref="A52:C52"/>
    <mergeCell ref="A67:C67"/>
    <mergeCell ref="A83:C83"/>
    <mergeCell ref="A84:C84"/>
    <mergeCell ref="A85:C85"/>
    <mergeCell ref="A86:C86"/>
    <mergeCell ref="A87:C87"/>
    <mergeCell ref="A88:C88"/>
    <mergeCell ref="A89:C89"/>
    <mergeCell ref="A90:C90"/>
    <mergeCell ref="A91:C91"/>
    <mergeCell ref="A92:C92"/>
    <mergeCell ref="A94:C94"/>
    <mergeCell ref="A122:C122"/>
    <mergeCell ref="A160:C160"/>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Assumptions</oddHeader>
    <oddFooter>&amp;LYellow cells with blue text are inputs. Green text is a cross-sheet link. Black text is a formula.&amp;RPage &amp;P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3E26"/>
    <pageSetUpPr fitToPage="true"/>
  </sheetPr>
  <dimension ref="A1:E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3" min="3" style="1" width="55"/>
    <col collapsed="false" customWidth="true" hidden="false" outlineLevel="0" max="4" min="4" style="1" width="48"/>
    <col collapsed="false" customWidth="true" hidden="false" outlineLevel="0" max="5" min="5" style="1" width="42"/>
  </cols>
  <sheetData>
    <row r="1" customFormat="false" ht="31.5" hidden="false" customHeight="true" outlineLevel="0" collapsed="false">
      <c r="A1" s="2" t="s">
        <v>0</v>
      </c>
      <c r="B1" s="2"/>
      <c r="C1" s="2"/>
      <c r="D1" s="2"/>
      <c r="E1" s="2"/>
    </row>
    <row r="2" customFormat="false" ht="19.5" hidden="false" customHeight="true" outlineLevel="0" collapsed="false">
      <c r="A2" s="3" t="s">
        <v>361</v>
      </c>
      <c r="B2" s="3"/>
      <c r="C2" s="3"/>
      <c r="D2" s="3"/>
      <c r="E2" s="3"/>
    </row>
    <row r="4" customFormat="false" ht="15" hidden="false" customHeight="true" outlineLevel="0" collapsed="false">
      <c r="A4" s="57" t="s">
        <v>362</v>
      </c>
      <c r="B4" s="57" t="s">
        <v>363</v>
      </c>
      <c r="C4" s="57" t="s">
        <v>364</v>
      </c>
      <c r="D4" s="57" t="s">
        <v>365</v>
      </c>
      <c r="E4" s="57" t="s">
        <v>366</v>
      </c>
    </row>
    <row r="5" customFormat="false" ht="31.5" hidden="false" customHeight="true" outlineLevel="0" collapsed="false">
      <c r="A5" s="27" t="s">
        <v>367</v>
      </c>
      <c r="B5" s="27" t="s">
        <v>368</v>
      </c>
      <c r="C5" s="27" t="s">
        <v>369</v>
      </c>
      <c r="D5" s="27" t="s">
        <v>370</v>
      </c>
      <c r="E5" s="27" t="s">
        <v>371</v>
      </c>
    </row>
    <row r="6" customFormat="false" ht="31.5" hidden="false" customHeight="true" outlineLevel="0" collapsed="false">
      <c r="A6" s="58" t="s">
        <v>372</v>
      </c>
      <c r="B6" s="58" t="s">
        <v>373</v>
      </c>
      <c r="C6" s="58" t="s">
        <v>374</v>
      </c>
      <c r="D6" s="58" t="s">
        <v>375</v>
      </c>
      <c r="E6" s="58" t="s">
        <v>371</v>
      </c>
    </row>
    <row r="7" customFormat="false" ht="31.5" hidden="false" customHeight="true" outlineLevel="0" collapsed="false">
      <c r="A7" s="27" t="s">
        <v>376</v>
      </c>
      <c r="B7" s="27" t="s">
        <v>377</v>
      </c>
      <c r="C7" s="27" t="s">
        <v>378</v>
      </c>
      <c r="D7" s="27" t="s">
        <v>379</v>
      </c>
      <c r="E7" s="27" t="s">
        <v>371</v>
      </c>
    </row>
    <row r="8" customFormat="false" ht="31.5" hidden="false" customHeight="true" outlineLevel="0" collapsed="false">
      <c r="A8" s="58" t="s">
        <v>380</v>
      </c>
      <c r="B8" s="58" t="s">
        <v>381</v>
      </c>
      <c r="C8" s="58" t="s">
        <v>382</v>
      </c>
      <c r="D8" s="58" t="s">
        <v>383</v>
      </c>
      <c r="E8" s="58" t="s">
        <v>371</v>
      </c>
    </row>
    <row r="9" customFormat="false" ht="31.5" hidden="false" customHeight="true" outlineLevel="0" collapsed="false">
      <c r="A9" s="27" t="s">
        <v>384</v>
      </c>
      <c r="B9" s="27" t="s">
        <v>385</v>
      </c>
      <c r="C9" s="27" t="s">
        <v>386</v>
      </c>
      <c r="D9" s="27" t="s">
        <v>387</v>
      </c>
      <c r="E9" s="27" t="s">
        <v>371</v>
      </c>
    </row>
    <row r="10" customFormat="false" ht="31.5" hidden="false" customHeight="true" outlineLevel="0" collapsed="false">
      <c r="A10" s="58" t="s">
        <v>388</v>
      </c>
      <c r="B10" s="58" t="s">
        <v>389</v>
      </c>
      <c r="C10" s="58" t="s">
        <v>390</v>
      </c>
      <c r="D10" s="58" t="s">
        <v>391</v>
      </c>
      <c r="E10" s="58" t="s">
        <v>371</v>
      </c>
    </row>
    <row r="11" customFormat="false" ht="31.5" hidden="false" customHeight="true" outlineLevel="0" collapsed="false">
      <c r="A11" s="27" t="s">
        <v>392</v>
      </c>
      <c r="B11" s="27" t="s">
        <v>393</v>
      </c>
      <c r="C11" s="27" t="s">
        <v>394</v>
      </c>
      <c r="D11" s="27" t="s">
        <v>395</v>
      </c>
      <c r="E11" s="27" t="s">
        <v>371</v>
      </c>
    </row>
    <row r="12" customFormat="false" ht="31.5" hidden="false" customHeight="true" outlineLevel="0" collapsed="false">
      <c r="A12" s="58" t="s">
        <v>396</v>
      </c>
      <c r="B12" s="58" t="s">
        <v>397</v>
      </c>
      <c r="C12" s="58" t="s">
        <v>398</v>
      </c>
      <c r="D12" s="58" t="s">
        <v>399</v>
      </c>
      <c r="E12" s="58" t="s">
        <v>371</v>
      </c>
    </row>
    <row r="14" customFormat="false" ht="15" hidden="false" customHeight="true" outlineLevel="0" collapsed="false">
      <c r="A14" s="6" t="s">
        <v>400</v>
      </c>
      <c r="B14" s="6"/>
      <c r="C14" s="6"/>
      <c r="D14" s="6"/>
      <c r="E14" s="6"/>
    </row>
    <row r="15" customFormat="false" ht="15" hidden="false" customHeight="true" outlineLevel="0" collapsed="false">
      <c r="A15" s="9" t="s">
        <v>401</v>
      </c>
      <c r="B15" s="9" t="s">
        <v>402</v>
      </c>
      <c r="C15" s="9" t="s">
        <v>403</v>
      </c>
      <c r="D15" s="9" t="s">
        <v>404</v>
      </c>
      <c r="E15" s="9" t="s">
        <v>95</v>
      </c>
    </row>
    <row r="16" customFormat="false" ht="31.5" hidden="false" customHeight="true" outlineLevel="0" collapsed="false">
      <c r="A16" s="59" t="s">
        <v>405</v>
      </c>
      <c r="B16" s="59" t="s">
        <v>406</v>
      </c>
      <c r="C16" s="59" t="s">
        <v>407</v>
      </c>
      <c r="D16" s="59" t="s">
        <v>408</v>
      </c>
      <c r="E16" s="59" t="s">
        <v>409</v>
      </c>
    </row>
    <row r="17" customFormat="false" ht="31.5" hidden="false" customHeight="true" outlineLevel="0" collapsed="false">
      <c r="A17" s="58" t="s">
        <v>410</v>
      </c>
      <c r="B17" s="58" t="s">
        <v>411</v>
      </c>
      <c r="C17" s="58" t="s">
        <v>412</v>
      </c>
      <c r="D17" s="58" t="s">
        <v>413</v>
      </c>
      <c r="E17" s="58" t="s">
        <v>414</v>
      </c>
    </row>
    <row r="18" customFormat="false" ht="31.5" hidden="false" customHeight="true" outlineLevel="0" collapsed="false">
      <c r="A18" s="59" t="s">
        <v>415</v>
      </c>
      <c r="B18" s="59" t="s">
        <v>416</v>
      </c>
      <c r="C18" s="59" t="s">
        <v>417</v>
      </c>
      <c r="D18" s="59" t="s">
        <v>418</v>
      </c>
      <c r="E18" s="59" t="s">
        <v>419</v>
      </c>
    </row>
    <row r="20" customFormat="false" ht="15" hidden="false" customHeight="true" outlineLevel="0" collapsed="false">
      <c r="A20" s="24" t="s">
        <v>420</v>
      </c>
      <c r="B20" s="24"/>
      <c r="C20" s="24"/>
      <c r="D20" s="24"/>
      <c r="E20" s="24"/>
    </row>
    <row r="21" customFormat="false" ht="15" hidden="false" customHeight="true" outlineLevel="0" collapsed="false">
      <c r="A21" s="9" t="s">
        <v>421</v>
      </c>
      <c r="B21" s="9" t="s">
        <v>422</v>
      </c>
      <c r="C21" s="9" t="s">
        <v>423</v>
      </c>
      <c r="D21" s="9" t="s">
        <v>424</v>
      </c>
      <c r="E21" s="9" t="s">
        <v>425</v>
      </c>
    </row>
    <row r="22" customFormat="false" ht="27.75" hidden="false" customHeight="true" outlineLevel="0" collapsed="false">
      <c r="A22" s="27" t="s">
        <v>426</v>
      </c>
      <c r="B22" s="27" t="s">
        <v>427</v>
      </c>
      <c r="C22" s="27" t="s">
        <v>428</v>
      </c>
      <c r="D22" s="27" t="s">
        <v>429</v>
      </c>
      <c r="E22" s="27" t="s">
        <v>430</v>
      </c>
    </row>
    <row r="23" customFormat="false" ht="27.75" hidden="false" customHeight="true" outlineLevel="0" collapsed="false">
      <c r="A23" s="58" t="s">
        <v>431</v>
      </c>
      <c r="B23" s="58" t="s">
        <v>432</v>
      </c>
      <c r="C23" s="58" t="s">
        <v>433</v>
      </c>
      <c r="D23" s="58" t="s">
        <v>434</v>
      </c>
      <c r="E23" s="58" t="s">
        <v>435</v>
      </c>
    </row>
    <row r="24" customFormat="false" ht="27.75" hidden="false" customHeight="true" outlineLevel="0" collapsed="false">
      <c r="A24" s="27" t="s">
        <v>436</v>
      </c>
      <c r="B24" s="27" t="s">
        <v>437</v>
      </c>
      <c r="C24" s="27" t="s">
        <v>438</v>
      </c>
      <c r="D24" s="27" t="s">
        <v>439</v>
      </c>
      <c r="E24" s="27" t="s">
        <v>440</v>
      </c>
    </row>
    <row r="25" customFormat="false" ht="27.75" hidden="false" customHeight="true" outlineLevel="0" collapsed="false">
      <c r="A25" s="58" t="s">
        <v>441</v>
      </c>
      <c r="B25" s="58" t="s">
        <v>437</v>
      </c>
      <c r="C25" s="58" t="s">
        <v>442</v>
      </c>
      <c r="D25" s="58" t="s">
        <v>443</v>
      </c>
      <c r="E25" s="58" t="s">
        <v>444</v>
      </c>
    </row>
  </sheetData>
  <autoFilter ref="A4:E12"/>
  <mergeCells count="4">
    <mergeCell ref="A1:E1"/>
    <mergeCell ref="A2:E2"/>
    <mergeCell ref="A14:E14"/>
    <mergeCell ref="A20:E20"/>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4C"/>
    <pageSetUpPr fitToPage="true"/>
  </sheetPr>
  <dimension ref="A1:G2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78"/>
    <col collapsed="false" customWidth="true" hidden="false" outlineLevel="0" max="3" min="3" style="1" width="24"/>
    <col collapsed="false" customWidth="true" hidden="false" outlineLevel="0" max="4" min="4" style="1" width="22"/>
    <col collapsed="false" customWidth="true" hidden="false" outlineLevel="0" max="5" min="5" style="1" width="28"/>
    <col collapsed="false" customWidth="true" hidden="false" outlineLevel="0" max="6" min="6" style="1" width="18"/>
    <col collapsed="false" customWidth="true" hidden="false" outlineLevel="0" max="7" min="7" style="1" width="20"/>
  </cols>
  <sheetData>
    <row r="1" customFormat="false" ht="31.5" hidden="false" customHeight="true" outlineLevel="0" collapsed="false">
      <c r="A1" s="2" t="s">
        <v>0</v>
      </c>
      <c r="B1" s="2"/>
      <c r="C1" s="2"/>
      <c r="D1" s="2"/>
      <c r="E1" s="2"/>
      <c r="F1" s="2"/>
      <c r="G1" s="2"/>
    </row>
    <row r="2" customFormat="false" ht="19.5" hidden="false" customHeight="true" outlineLevel="0" collapsed="false">
      <c r="A2" s="3" t="s">
        <v>445</v>
      </c>
      <c r="B2" s="3"/>
      <c r="C2" s="3"/>
      <c r="D2" s="3"/>
      <c r="E2" s="3"/>
      <c r="F2" s="3"/>
      <c r="G2" s="3"/>
    </row>
    <row r="4" customFormat="false" ht="15" hidden="false" customHeight="true" outlineLevel="0" collapsed="false">
      <c r="A4" s="57" t="s">
        <v>446</v>
      </c>
      <c r="B4" s="57" t="s">
        <v>447</v>
      </c>
      <c r="C4" s="57" t="s">
        <v>448</v>
      </c>
      <c r="D4" s="57" t="s">
        <v>449</v>
      </c>
      <c r="E4" s="57" t="s">
        <v>450</v>
      </c>
      <c r="F4" s="57" t="s">
        <v>5</v>
      </c>
      <c r="G4" s="9" t="s">
        <v>451</v>
      </c>
    </row>
    <row r="5" customFormat="false" ht="30" hidden="false" customHeight="true" outlineLevel="0" collapsed="false">
      <c r="A5" s="27" t="s">
        <v>452</v>
      </c>
      <c r="B5" s="27" t="s">
        <v>453</v>
      </c>
      <c r="C5" s="27" t="s">
        <v>134</v>
      </c>
      <c r="D5" s="60" t="n">
        <f aca="false">Assumptions!B41</f>
        <v>24</v>
      </c>
      <c r="E5" s="27" t="s">
        <v>454</v>
      </c>
      <c r="F5" s="27" t="s">
        <v>98</v>
      </c>
      <c r="G5" s="27" t="s">
        <v>455</v>
      </c>
    </row>
    <row r="6" customFormat="false" ht="30" hidden="false" customHeight="true" outlineLevel="0" collapsed="false">
      <c r="A6" s="58" t="s">
        <v>456</v>
      </c>
      <c r="B6" s="58" t="s">
        <v>457</v>
      </c>
      <c r="C6" s="58" t="s">
        <v>458</v>
      </c>
      <c r="D6" s="60" t="n">
        <f aca="false">Assumptions!B42</f>
        <v>24</v>
      </c>
      <c r="E6" s="58" t="s">
        <v>459</v>
      </c>
      <c r="F6" s="58" t="s">
        <v>98</v>
      </c>
      <c r="G6" s="58" t="s">
        <v>460</v>
      </c>
    </row>
    <row r="7" customFormat="false" ht="30" hidden="false" customHeight="true" outlineLevel="0" collapsed="false">
      <c r="A7" s="27" t="s">
        <v>228</v>
      </c>
      <c r="B7" s="27" t="s">
        <v>461</v>
      </c>
      <c r="C7" s="27" t="s">
        <v>462</v>
      </c>
      <c r="D7" s="60" t="n">
        <f aca="false">Assumptions!B44</f>
        <v>120</v>
      </c>
      <c r="E7" s="27" t="s">
        <v>463</v>
      </c>
      <c r="F7" s="27" t="s">
        <v>98</v>
      </c>
      <c r="G7" s="27" t="s">
        <v>464</v>
      </c>
    </row>
    <row r="8" customFormat="false" ht="30" hidden="false" customHeight="true" outlineLevel="0" collapsed="false">
      <c r="A8" s="58" t="s">
        <v>465</v>
      </c>
      <c r="B8" s="58" t="s">
        <v>466</v>
      </c>
      <c r="C8" s="58" t="s">
        <v>467</v>
      </c>
      <c r="D8" s="60" t="n">
        <f aca="false">Assumptions!B46</f>
        <v>400</v>
      </c>
      <c r="E8" s="58" t="s">
        <v>468</v>
      </c>
      <c r="F8" s="58" t="s">
        <v>100</v>
      </c>
      <c r="G8" s="58" t="s">
        <v>469</v>
      </c>
    </row>
    <row r="9" customFormat="false" ht="30" hidden="false" customHeight="true" outlineLevel="0" collapsed="false">
      <c r="A9" s="27" t="s">
        <v>470</v>
      </c>
      <c r="B9" s="27" t="s">
        <v>471</v>
      </c>
      <c r="C9" s="27" t="s">
        <v>472</v>
      </c>
      <c r="D9" s="60" t="n">
        <f aca="false">Assumptions!B45</f>
        <v>120</v>
      </c>
      <c r="E9" s="27" t="s">
        <v>473</v>
      </c>
      <c r="F9" s="27" t="s">
        <v>98</v>
      </c>
      <c r="G9" s="27" t="s">
        <v>474</v>
      </c>
    </row>
    <row r="10" customFormat="false" ht="30" hidden="false" customHeight="true" outlineLevel="0" collapsed="false">
      <c r="A10" s="58" t="s">
        <v>219</v>
      </c>
      <c r="B10" s="58" t="s">
        <v>475</v>
      </c>
      <c r="C10" s="58" t="s">
        <v>476</v>
      </c>
      <c r="D10" s="58" t="s">
        <v>371</v>
      </c>
      <c r="E10" s="58" t="s">
        <v>477</v>
      </c>
      <c r="F10" s="58" t="s">
        <v>98</v>
      </c>
      <c r="G10" s="58" t="s">
        <v>478</v>
      </c>
    </row>
    <row r="11" customFormat="false" ht="30" hidden="false" customHeight="true" outlineLevel="0" collapsed="false">
      <c r="A11" s="27" t="s">
        <v>479</v>
      </c>
      <c r="B11" s="27" t="s">
        <v>480</v>
      </c>
      <c r="C11" s="27" t="s">
        <v>476</v>
      </c>
      <c r="D11" s="27" t="s">
        <v>21</v>
      </c>
      <c r="E11" s="27" t="s">
        <v>481</v>
      </c>
      <c r="F11" s="27" t="s">
        <v>98</v>
      </c>
      <c r="G11" s="27" t="s">
        <v>482</v>
      </c>
    </row>
    <row r="12" customFormat="false" ht="30" hidden="false" customHeight="true" outlineLevel="0" collapsed="false">
      <c r="A12" s="58" t="s">
        <v>483</v>
      </c>
      <c r="B12" s="58" t="s">
        <v>484</v>
      </c>
      <c r="C12" s="58" t="s">
        <v>476</v>
      </c>
      <c r="D12" s="58" t="s">
        <v>485</v>
      </c>
      <c r="E12" s="58" t="s">
        <v>486</v>
      </c>
      <c r="F12" s="58" t="s">
        <v>100</v>
      </c>
      <c r="G12" s="58" t="s">
        <v>487</v>
      </c>
    </row>
    <row r="13" customFormat="false" ht="30" hidden="false" customHeight="true" outlineLevel="0" collapsed="false">
      <c r="A13" s="27" t="s">
        <v>488</v>
      </c>
      <c r="B13" s="27" t="s">
        <v>489</v>
      </c>
      <c r="C13" s="27" t="s">
        <v>490</v>
      </c>
      <c r="D13" s="60" t="n">
        <f aca="false">Assumptions!B43</f>
        <v>168</v>
      </c>
      <c r="E13" s="27" t="s">
        <v>491</v>
      </c>
      <c r="F13" s="27" t="s">
        <v>98</v>
      </c>
      <c r="G13" s="27" t="s">
        <v>492</v>
      </c>
    </row>
    <row r="14" customFormat="false" ht="30" hidden="false" customHeight="true" outlineLevel="0" collapsed="false">
      <c r="A14" s="58" t="s">
        <v>493</v>
      </c>
      <c r="B14" s="58" t="s">
        <v>494</v>
      </c>
      <c r="C14" s="58" t="s">
        <v>495</v>
      </c>
      <c r="D14" s="60" t="n">
        <f aca="false">Assumptions!B48</f>
        <v>2</v>
      </c>
      <c r="E14" s="58" t="s">
        <v>496</v>
      </c>
      <c r="F14" s="58" t="s">
        <v>100</v>
      </c>
      <c r="G14" s="58" t="s">
        <v>497</v>
      </c>
    </row>
    <row r="15" customFormat="false" ht="30" hidden="false" customHeight="true" outlineLevel="0" collapsed="false">
      <c r="A15" s="27" t="s">
        <v>498</v>
      </c>
      <c r="B15" s="27" t="s">
        <v>499</v>
      </c>
      <c r="C15" s="27" t="s">
        <v>500</v>
      </c>
      <c r="D15" s="60" t="n">
        <f aca="false">Assumptions!B50</f>
        <v>5</v>
      </c>
      <c r="E15" s="27" t="s">
        <v>501</v>
      </c>
      <c r="F15" s="27" t="s">
        <v>100</v>
      </c>
      <c r="G15" s="27" t="s">
        <v>502</v>
      </c>
    </row>
    <row r="16" customFormat="false" ht="30" hidden="false" customHeight="true" outlineLevel="0" collapsed="false">
      <c r="A16" s="58" t="s">
        <v>503</v>
      </c>
      <c r="B16" s="58" t="s">
        <v>504</v>
      </c>
      <c r="C16" s="58" t="s">
        <v>505</v>
      </c>
      <c r="D16" s="60" t="n">
        <f aca="false">Assumptions!B49</f>
        <v>4</v>
      </c>
      <c r="E16" s="58" t="s">
        <v>151</v>
      </c>
      <c r="F16" s="58" t="s">
        <v>102</v>
      </c>
      <c r="G16" s="58" t="s">
        <v>506</v>
      </c>
    </row>
    <row r="17" customFormat="false" ht="30" hidden="false" customHeight="true" outlineLevel="0" collapsed="false">
      <c r="A17" s="27" t="s">
        <v>507</v>
      </c>
      <c r="B17" s="27" t="s">
        <v>508</v>
      </c>
      <c r="C17" s="27" t="s">
        <v>509</v>
      </c>
      <c r="D17" s="60" t="n">
        <f aca="false">Assumptions!B47</f>
        <v>3</v>
      </c>
      <c r="E17" s="27" t="s">
        <v>510</v>
      </c>
      <c r="F17" s="27" t="s">
        <v>102</v>
      </c>
      <c r="G17" s="27" t="s">
        <v>511</v>
      </c>
    </row>
    <row r="18" customFormat="false" ht="30" hidden="false" customHeight="true" outlineLevel="0" collapsed="false">
      <c r="A18" s="58" t="s">
        <v>512</v>
      </c>
      <c r="B18" s="58" t="s">
        <v>513</v>
      </c>
      <c r="C18" s="58" t="s">
        <v>476</v>
      </c>
      <c r="D18" s="58" t="s">
        <v>371</v>
      </c>
      <c r="E18" s="58" t="s">
        <v>514</v>
      </c>
      <c r="F18" s="58" t="s">
        <v>104</v>
      </c>
      <c r="G18" s="58" t="s">
        <v>515</v>
      </c>
    </row>
    <row r="19" customFormat="false" ht="30" hidden="false" customHeight="true" outlineLevel="0" collapsed="false">
      <c r="A19" s="27" t="s">
        <v>516</v>
      </c>
      <c r="B19" s="27" t="s">
        <v>517</v>
      </c>
      <c r="C19" s="27" t="s">
        <v>518</v>
      </c>
      <c r="D19" s="60" t="n">
        <f aca="false">Assumptions!B47</f>
        <v>3</v>
      </c>
      <c r="E19" s="27" t="s">
        <v>519</v>
      </c>
      <c r="F19" s="27" t="s">
        <v>98</v>
      </c>
      <c r="G19" s="27" t="s">
        <v>520</v>
      </c>
    </row>
    <row r="20" customFormat="false" ht="30" hidden="false" customHeight="true" outlineLevel="0" collapsed="false">
      <c r="A20" s="58" t="s">
        <v>224</v>
      </c>
      <c r="B20" s="58" t="s">
        <v>521</v>
      </c>
      <c r="C20" s="58" t="s">
        <v>476</v>
      </c>
      <c r="D20" s="58" t="s">
        <v>371</v>
      </c>
      <c r="E20" s="58" t="s">
        <v>522</v>
      </c>
      <c r="F20" s="58" t="s">
        <v>100</v>
      </c>
      <c r="G20" s="58" t="s">
        <v>523</v>
      </c>
    </row>
    <row r="21" customFormat="false" ht="30" hidden="false" customHeight="true" outlineLevel="0" collapsed="false">
      <c r="A21" s="27" t="s">
        <v>524</v>
      </c>
      <c r="B21" s="27" t="s">
        <v>525</v>
      </c>
      <c r="C21" s="27" t="s">
        <v>458</v>
      </c>
      <c r="D21" s="60" t="n">
        <f aca="false">Assumptions!B42</f>
        <v>24</v>
      </c>
      <c r="E21" s="27" t="s">
        <v>526</v>
      </c>
      <c r="F21" s="27" t="s">
        <v>100</v>
      </c>
      <c r="G21" s="27" t="s">
        <v>527</v>
      </c>
    </row>
    <row r="22" customFormat="false" ht="30" hidden="false" customHeight="true" outlineLevel="0" collapsed="false">
      <c r="A22" s="58" t="s">
        <v>236</v>
      </c>
      <c r="B22" s="58" t="s">
        <v>528</v>
      </c>
      <c r="C22" s="58" t="s">
        <v>529</v>
      </c>
      <c r="D22" s="60" t="n">
        <f aca="false">Assumptions!B57</f>
        <v>2</v>
      </c>
      <c r="E22" s="58" t="s">
        <v>530</v>
      </c>
      <c r="F22" s="58" t="s">
        <v>100</v>
      </c>
      <c r="G22" s="58" t="s">
        <v>531</v>
      </c>
    </row>
    <row r="23" customFormat="false" ht="30" hidden="false" customHeight="true" outlineLevel="0" collapsed="false">
      <c r="A23" s="27" t="s">
        <v>532</v>
      </c>
      <c r="B23" s="27" t="s">
        <v>533</v>
      </c>
      <c r="C23" s="27" t="s">
        <v>495</v>
      </c>
      <c r="D23" s="60" t="n">
        <f aca="false">Assumptions!B48</f>
        <v>2</v>
      </c>
      <c r="E23" s="27" t="s">
        <v>534</v>
      </c>
      <c r="F23" s="27" t="s">
        <v>100</v>
      </c>
      <c r="G23" s="27" t="s">
        <v>535</v>
      </c>
    </row>
    <row r="24" customFormat="false" ht="30" hidden="false" customHeight="true" outlineLevel="0" collapsed="false">
      <c r="A24" s="58" t="s">
        <v>536</v>
      </c>
      <c r="B24" s="58" t="s">
        <v>537</v>
      </c>
      <c r="C24" s="58" t="s">
        <v>134</v>
      </c>
      <c r="D24" s="60" t="n">
        <f aca="false">Assumptions!B41</f>
        <v>24</v>
      </c>
      <c r="E24" s="58" t="s">
        <v>538</v>
      </c>
      <c r="F24" s="58" t="s">
        <v>98</v>
      </c>
      <c r="G24" s="58" t="s">
        <v>539</v>
      </c>
    </row>
  </sheetData>
  <autoFilter ref="A4:F18"/>
  <mergeCells count="2">
    <mergeCell ref="A1:G1"/>
    <mergeCell ref="A2:G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F4E"/>
    <pageSetUpPr fitToPage="tru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4"/>
    <col collapsed="false" customWidth="true" hidden="false" outlineLevel="0" max="4" min="4" style="1" width="16"/>
    <col collapsed="false" customWidth="true" hidden="false" outlineLevel="0" max="5" min="5" style="1" width="52"/>
  </cols>
  <sheetData>
    <row r="1" customFormat="false" ht="31.5" hidden="false" customHeight="true" outlineLevel="0" collapsed="false">
      <c r="A1" s="2" t="s">
        <v>0</v>
      </c>
      <c r="B1" s="2"/>
      <c r="C1" s="2"/>
      <c r="D1" s="2"/>
      <c r="E1" s="2"/>
    </row>
    <row r="2" customFormat="false" ht="19.5" hidden="false" customHeight="true" outlineLevel="0" collapsed="false">
      <c r="A2" s="3" t="s">
        <v>540</v>
      </c>
      <c r="B2" s="3"/>
      <c r="C2" s="3"/>
      <c r="D2" s="3"/>
      <c r="E2" s="3"/>
    </row>
    <row r="4" customFormat="false" ht="15" hidden="false" customHeight="true" outlineLevel="0" collapsed="false">
      <c r="A4" s="6" t="s">
        <v>541</v>
      </c>
      <c r="B4" s="6"/>
      <c r="C4" s="6"/>
      <c r="D4" s="6"/>
      <c r="E4" s="6"/>
    </row>
    <row r="5" customFormat="false" ht="15" hidden="false" customHeight="true" outlineLevel="0" collapsed="false">
      <c r="A5" s="9" t="s">
        <v>110</v>
      </c>
      <c r="B5" s="9" t="s">
        <v>42</v>
      </c>
      <c r="C5" s="9" t="s">
        <v>542</v>
      </c>
      <c r="D5" s="9"/>
      <c r="E5" s="9"/>
    </row>
    <row r="6" customFormat="false" ht="15" hidden="false" customHeight="true" outlineLevel="0" collapsed="false">
      <c r="A6" s="4" t="s">
        <v>543</v>
      </c>
      <c r="B6" s="61" t="n">
        <f aca="false">Assumptions!B62</f>
        <v>1200</v>
      </c>
      <c r="C6" s="33" t="s">
        <v>544</v>
      </c>
      <c r="D6" s="33"/>
      <c r="E6" s="33"/>
    </row>
    <row r="7" customFormat="false" ht="15" hidden="false" customHeight="true" outlineLevel="0" collapsed="false">
      <c r="A7" s="4" t="s">
        <v>142</v>
      </c>
      <c r="B7" s="60" t="n">
        <f aca="false">Assumptions!B45</f>
        <v>120</v>
      </c>
      <c r="C7" s="33" t="s">
        <v>545</v>
      </c>
      <c r="D7" s="33"/>
      <c r="E7" s="33"/>
    </row>
    <row r="8" customFormat="false" ht="15" hidden="false" customHeight="true" outlineLevel="0" collapsed="false">
      <c r="A8" s="4" t="s">
        <v>546</v>
      </c>
      <c r="B8" s="62" t="n">
        <f aca="false">IF(B7=0,0,B6/B7)</f>
        <v>10</v>
      </c>
      <c r="C8" s="33" t="s">
        <v>547</v>
      </c>
      <c r="D8" s="33"/>
      <c r="E8" s="33"/>
    </row>
    <row r="9" customFormat="false" ht="15" hidden="false" customHeight="true" outlineLevel="0" collapsed="false">
      <c r="A9" s="4" t="s">
        <v>172</v>
      </c>
      <c r="B9" s="63" t="n">
        <f aca="false">Assumptions!B63</f>
        <v>1.3</v>
      </c>
      <c r="C9" s="33" t="s">
        <v>548</v>
      </c>
      <c r="D9" s="33"/>
      <c r="E9" s="33"/>
    </row>
    <row r="10" customFormat="false" ht="15" hidden="false" customHeight="true" outlineLevel="0" collapsed="false">
      <c r="A10" s="4" t="s">
        <v>55</v>
      </c>
      <c r="B10" s="32" t="n">
        <f aca="false">ROUNDUP(B8*B9,0)</f>
        <v>13</v>
      </c>
      <c r="C10" s="33" t="s">
        <v>549</v>
      </c>
      <c r="D10" s="33"/>
      <c r="E10" s="33"/>
    </row>
    <row r="12" customFormat="false" ht="15" hidden="false" customHeight="true" outlineLevel="0" collapsed="false">
      <c r="A12" s="6" t="s">
        <v>550</v>
      </c>
      <c r="B12" s="6"/>
      <c r="C12" s="6"/>
      <c r="D12" s="6"/>
      <c r="E12" s="6"/>
    </row>
    <row r="13" customFormat="false" ht="15" hidden="false" customHeight="true" outlineLevel="0" collapsed="false">
      <c r="A13" s="9" t="s">
        <v>551</v>
      </c>
      <c r="B13" s="9" t="s">
        <v>552</v>
      </c>
      <c r="C13" s="9" t="s">
        <v>553</v>
      </c>
      <c r="D13" s="9" t="s">
        <v>554</v>
      </c>
      <c r="E13" s="9" t="s">
        <v>447</v>
      </c>
    </row>
    <row r="14" customFormat="false" ht="15" hidden="false" customHeight="true" outlineLevel="0" collapsed="false">
      <c r="A14" s="58" t="s">
        <v>555</v>
      </c>
      <c r="B14" s="60" t="n">
        <f aca="false">Assumptions!B42</f>
        <v>24</v>
      </c>
      <c r="C14" s="64" t="n">
        <f aca="false">Assumptions!B54</f>
        <v>0.4</v>
      </c>
      <c r="D14" s="62" t="n">
        <f aca="false">B14*C14</f>
        <v>9.6</v>
      </c>
      <c r="E14" s="41" t="s">
        <v>556</v>
      </c>
    </row>
    <row r="15" customFormat="false" ht="15" hidden="false" customHeight="true" outlineLevel="0" collapsed="false">
      <c r="A15" s="27" t="s">
        <v>557</v>
      </c>
      <c r="B15" s="60" t="n">
        <f aca="false">Assumptions!B57</f>
        <v>2</v>
      </c>
      <c r="C15" s="64" t="n">
        <f aca="false">Assumptions!B55</f>
        <v>1.5</v>
      </c>
      <c r="D15" s="62" t="n">
        <f aca="false">B15*C15</f>
        <v>3</v>
      </c>
      <c r="E15" s="41" t="s">
        <v>558</v>
      </c>
    </row>
    <row r="16" customFormat="false" ht="15" hidden="false" customHeight="true" outlineLevel="0" collapsed="false">
      <c r="A16" s="58" t="s">
        <v>559</v>
      </c>
      <c r="B16" s="60" t="n">
        <f aca="false">Assumptions!B58</f>
        <v>6</v>
      </c>
      <c r="C16" s="64" t="n">
        <f aca="false">Assumptions!B56</f>
        <v>0.4</v>
      </c>
      <c r="D16" s="62" t="n">
        <f aca="false">B16*C16</f>
        <v>2.4</v>
      </c>
      <c r="E16" s="41"/>
    </row>
    <row r="17" customFormat="false" ht="15" hidden="false" customHeight="true" outlineLevel="0" collapsed="false">
      <c r="A17" s="27" t="s">
        <v>491</v>
      </c>
      <c r="B17" s="32" t="n">
        <f aca="false">ROUNDUP(B14*$B$10/Assumptions!B43,0)</f>
        <v>2</v>
      </c>
      <c r="C17" s="62" t="n">
        <v>1</v>
      </c>
      <c r="D17" s="62" t="n">
        <f aca="false">B17*C17</f>
        <v>2</v>
      </c>
      <c r="E17" s="41" t="s">
        <v>560</v>
      </c>
    </row>
    <row r="18" customFormat="false" ht="15" hidden="false" customHeight="true" outlineLevel="0" collapsed="false">
      <c r="A18" s="58" t="s">
        <v>561</v>
      </c>
      <c r="B18" s="32" t="n">
        <f aca="false">ROUNDUP(B14*$B$10/Assumptions!B44,0)</f>
        <v>3</v>
      </c>
      <c r="C18" s="62" t="n">
        <v>1</v>
      </c>
      <c r="D18" s="62" t="n">
        <f aca="false">B18*C18</f>
        <v>3</v>
      </c>
      <c r="E18" s="41" t="s">
        <v>562</v>
      </c>
    </row>
    <row r="19" customFormat="false" ht="15" hidden="false" customHeight="true" outlineLevel="0" collapsed="false">
      <c r="A19" s="27" t="s">
        <v>563</v>
      </c>
      <c r="B19" s="32" t="n">
        <f aca="false">ROUNDUP((B15+B16*Assumptions!B60)*$B$10/Assumptions!B59,0)</f>
        <v>2</v>
      </c>
      <c r="C19" s="62" t="n">
        <v>1</v>
      </c>
      <c r="D19" s="62" t="n">
        <f aca="false">B19*C19</f>
        <v>2</v>
      </c>
      <c r="E19" s="41" t="s">
        <v>564</v>
      </c>
    </row>
    <row r="20" customFormat="false" ht="15" hidden="false" customHeight="true" outlineLevel="0" collapsed="false">
      <c r="A20" s="58" t="s">
        <v>565</v>
      </c>
      <c r="B20" s="60" t="n">
        <f aca="false">Assumptions!B61</f>
        <v>2</v>
      </c>
      <c r="C20" s="62" t="n">
        <v>1</v>
      </c>
      <c r="D20" s="62" t="n">
        <f aca="false">B20*C20</f>
        <v>2</v>
      </c>
      <c r="E20" s="41" t="s">
        <v>169</v>
      </c>
    </row>
    <row r="21" customFormat="false" ht="15" hidden="false" customHeight="true" outlineLevel="0" collapsed="false">
      <c r="A21" s="20" t="s">
        <v>566</v>
      </c>
      <c r="B21" s="20"/>
      <c r="C21" s="20"/>
      <c r="D21" s="65" t="n">
        <f aca="false">SUM(D14:D20)</f>
        <v>24</v>
      </c>
      <c r="E21" s="20"/>
    </row>
    <row r="22" customFormat="false" ht="15" hidden="false" customHeight="true" outlineLevel="0" collapsed="false">
      <c r="A22" s="4" t="s">
        <v>567</v>
      </c>
      <c r="D22" s="64" t="n">
        <f aca="false">Assumptions!B41</f>
        <v>24</v>
      </c>
    </row>
    <row r="23" customFormat="false" ht="15" hidden="false" customHeight="true" outlineLevel="0" collapsed="false">
      <c r="A23" s="66" t="s">
        <v>568</v>
      </c>
      <c r="B23" s="66"/>
      <c r="C23" s="66"/>
      <c r="D23" s="67" t="n">
        <f aca="false">ROUND(D22-D21,2)</f>
        <v>0</v>
      </c>
      <c r="E23" s="58" t="str">
        <f aca="false">IF(D23&lt;0,"Over: leave a passenger, an animal, or a trade good",IF(D23&lt;1,"Full: the intended feel","Room to spare: the hold is not yet a choice"))</f>
        <v>Full: the intended feel</v>
      </c>
    </row>
    <row r="25" customFormat="false" ht="15" hidden="false" customHeight="true" outlineLevel="0" collapsed="false">
      <c r="A25" s="6" t="s">
        <v>569</v>
      </c>
      <c r="B25" s="6"/>
      <c r="C25" s="6"/>
      <c r="D25" s="6"/>
      <c r="E25" s="6"/>
    </row>
    <row r="26" customFormat="false" ht="15" hidden="false" customHeight="true" outlineLevel="0" collapsed="false">
      <c r="A26" s="9" t="s">
        <v>551</v>
      </c>
      <c r="B26" s="9" t="s">
        <v>552</v>
      </c>
      <c r="C26" s="9" t="s">
        <v>553</v>
      </c>
      <c r="D26" s="9" t="s">
        <v>554</v>
      </c>
      <c r="E26" s="9" t="s">
        <v>447</v>
      </c>
    </row>
    <row r="27" customFormat="false" ht="15" hidden="false" customHeight="true" outlineLevel="0" collapsed="false">
      <c r="A27" s="27" t="s">
        <v>570</v>
      </c>
      <c r="B27" s="60" t="n">
        <f aca="false">Assumptions!B64</f>
        <v>10</v>
      </c>
      <c r="C27" s="64" t="n">
        <f aca="false">Assumptions!B54</f>
        <v>0.4</v>
      </c>
      <c r="D27" s="62" t="n">
        <f aca="false">B27*C27</f>
        <v>4</v>
      </c>
      <c r="E27" s="41" t="s">
        <v>175</v>
      </c>
    </row>
    <row r="28" customFormat="false" ht="15" hidden="false" customHeight="true" outlineLevel="0" collapsed="false">
      <c r="A28" s="58" t="s">
        <v>571</v>
      </c>
      <c r="B28" s="32" t="n">
        <f aca="false">ROUNDUP(B27*$B$10/Assumptions!B43,0)</f>
        <v>1</v>
      </c>
      <c r="C28" s="62" t="n">
        <v>1</v>
      </c>
      <c r="D28" s="62" t="n">
        <f aca="false">B28*C28</f>
        <v>1</v>
      </c>
      <c r="E28" s="41" t="s">
        <v>572</v>
      </c>
    </row>
    <row r="29" customFormat="false" ht="15" hidden="false" customHeight="true" outlineLevel="0" collapsed="false">
      <c r="A29" s="27" t="s">
        <v>573</v>
      </c>
      <c r="B29" s="32" t="n">
        <f aca="false">ROUNDUP(B27*$B$10/Assumptions!B44,0)</f>
        <v>2</v>
      </c>
      <c r="C29" s="62" t="n">
        <v>1</v>
      </c>
      <c r="D29" s="62" t="n">
        <f aca="false">B29*C29</f>
        <v>2</v>
      </c>
      <c r="E29" s="41"/>
    </row>
    <row r="30" customFormat="false" ht="15" hidden="false" customHeight="true" outlineLevel="0" collapsed="false">
      <c r="A30" s="4" t="s">
        <v>574</v>
      </c>
      <c r="D30" s="62" t="n">
        <f aca="false">SUM(D27:D29)</f>
        <v>7</v>
      </c>
    </row>
    <row r="31" customFormat="false" ht="15" hidden="false" customHeight="true" outlineLevel="0" collapsed="false">
      <c r="A31" s="4" t="s">
        <v>575</v>
      </c>
      <c r="D31" s="62" t="n">
        <f aca="false">Assumptions!B41-D30</f>
        <v>17</v>
      </c>
    </row>
    <row r="32" customFormat="false" ht="15" hidden="false" customHeight="true" outlineLevel="0" collapsed="false">
      <c r="A32" s="4" t="s">
        <v>576</v>
      </c>
      <c r="D32" s="32" t="n">
        <f aca="false">INT(D31/Assumptions!B65)</f>
        <v>17</v>
      </c>
    </row>
    <row r="33" customFormat="false" ht="15" hidden="false" customHeight="true" outlineLevel="0" collapsed="false">
      <c r="A33" s="4" t="s">
        <v>577</v>
      </c>
      <c r="D33" s="60" t="n">
        <f aca="false">Assumptions!B49</f>
        <v>4</v>
      </c>
    </row>
    <row r="34" customFormat="false" ht="15" hidden="false" customHeight="true" outlineLevel="0" collapsed="false">
      <c r="A34" s="66" t="s">
        <v>503</v>
      </c>
      <c r="B34" s="66"/>
      <c r="C34" s="66"/>
      <c r="D34" s="68" t="str">
        <f aca="false">IF(D32&gt;=D33,"Opens","Blocked")</f>
        <v>Opens</v>
      </c>
      <c r="E34" s="58" t="str">
        <f aca="false">IF(D32&gt;=D33,"Room for "&amp;D32&amp;" timber units against a gate of "&amp;D33,"Shrink the return crew or the crossing")</f>
        <v>Room for 17 timber units against a gate of 4</v>
      </c>
    </row>
    <row r="36" customFormat="false" ht="30" hidden="false" customHeight="true" outlineLevel="0" collapsed="false">
      <c r="A36" s="54" t="s">
        <v>578</v>
      </c>
      <c r="B36" s="54"/>
      <c r="C36" s="54"/>
      <c r="D36" s="54"/>
      <c r="E36" s="54"/>
    </row>
  </sheetData>
  <mergeCells count="12">
    <mergeCell ref="A1:E1"/>
    <mergeCell ref="A2:E2"/>
    <mergeCell ref="A4:E4"/>
    <mergeCell ref="C5:E5"/>
    <mergeCell ref="C6:E6"/>
    <mergeCell ref="C7:E7"/>
    <mergeCell ref="C8:E8"/>
    <mergeCell ref="C9:E9"/>
    <mergeCell ref="C10:E10"/>
    <mergeCell ref="A12:E12"/>
    <mergeCell ref="A25:E25"/>
    <mergeCell ref="A36:E36"/>
  </mergeCells>
  <conditionalFormatting sqref="E23">
    <cfRule type="expression" priority="2" aboveAverage="0" equalAverage="0" bottom="0" percent="0" rank="0" text="" dxfId="2">
      <formula>$D$23&lt;0</formula>
    </cfRule>
    <cfRule type="expression" priority="3" aboveAverage="0" equalAverage="0" bottom="0" percent="0" rank="0" text="" dxfId="0">
      <formula>AND($D$23&gt;=0,$D$23&lt;1)</formula>
    </cfRule>
    <cfRule type="expression" priority="4" aboveAverage="0" equalAverage="0" bottom="0" percent="0" rank="0" text="" dxfId="1">
      <formula>$D$23&gt;=1</formula>
    </cfRule>
  </conditionalFormatting>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F4E"/>
    <pageSetUpPr fitToPage="true"/>
  </sheetPr>
  <dimension ref="A1:K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0"/>
    <col collapsed="false" customWidth="true" hidden="false" outlineLevel="0" max="4" min="4" style="1" width="55"/>
    <col collapsed="false" customWidth="true" hidden="false" outlineLevel="0" max="5" min="5" style="1" width="42"/>
    <col collapsed="false" customWidth="true" hidden="false" outlineLevel="0" max="6" min="6" style="1" width="32"/>
    <col collapsed="false" customWidth="true" hidden="false" outlineLevel="0" max="7" min="7" style="1" width="36"/>
    <col collapsed="false" customWidth="true" hidden="false" outlineLevel="0" max="8" min="8" style="1" width="14"/>
    <col collapsed="false" customWidth="true" hidden="false" outlineLevel="0" max="9" min="9" style="1" width="10"/>
    <col collapsed="false" customWidth="true" hidden="false" outlineLevel="0" max="11" min="10" style="1" width="40"/>
  </cols>
  <sheetData>
    <row r="1" customFormat="false" ht="31.5" hidden="false" customHeight="true" outlineLevel="0" collapsed="false">
      <c r="A1" s="2" t="s">
        <v>0</v>
      </c>
      <c r="B1" s="2"/>
      <c r="C1" s="2"/>
      <c r="D1" s="2"/>
      <c r="E1" s="2"/>
      <c r="F1" s="2"/>
      <c r="G1" s="2"/>
      <c r="H1" s="2"/>
      <c r="I1" s="2"/>
      <c r="J1" s="2"/>
      <c r="K1" s="2"/>
    </row>
    <row r="2" customFormat="false" ht="19.5" hidden="false" customHeight="true" outlineLevel="0" collapsed="false">
      <c r="A2" s="3" t="s">
        <v>579</v>
      </c>
      <c r="B2" s="3"/>
      <c r="C2" s="3"/>
      <c r="D2" s="3"/>
      <c r="E2" s="3"/>
      <c r="F2" s="3"/>
      <c r="G2" s="3"/>
      <c r="H2" s="3"/>
      <c r="I2" s="3"/>
      <c r="J2" s="3"/>
      <c r="K2" s="3"/>
    </row>
    <row r="4" customFormat="false" ht="15" hidden="false" customHeight="true" outlineLevel="0" collapsed="false">
      <c r="A4" s="57" t="s">
        <v>362</v>
      </c>
      <c r="B4" s="57" t="s">
        <v>20</v>
      </c>
      <c r="C4" s="57" t="s">
        <v>580</v>
      </c>
      <c r="D4" s="57" t="s">
        <v>581</v>
      </c>
      <c r="E4" s="57" t="s">
        <v>582</v>
      </c>
      <c r="F4" s="57" t="s">
        <v>583</v>
      </c>
      <c r="G4" s="57" t="s">
        <v>584</v>
      </c>
      <c r="H4" s="57" t="s">
        <v>585</v>
      </c>
      <c r="I4" s="9" t="s">
        <v>451</v>
      </c>
      <c r="J4" s="9" t="s">
        <v>586</v>
      </c>
      <c r="K4" s="9" t="s">
        <v>587</v>
      </c>
    </row>
    <row r="5" customFormat="false" ht="36" hidden="false" customHeight="true" outlineLevel="0" collapsed="false">
      <c r="A5" s="27" t="s">
        <v>588</v>
      </c>
      <c r="B5" s="27" t="s">
        <v>23</v>
      </c>
      <c r="C5" s="27" t="s">
        <v>589</v>
      </c>
      <c r="D5" s="27" t="s">
        <v>590</v>
      </c>
      <c r="E5" s="27" t="s">
        <v>591</v>
      </c>
      <c r="F5" s="27" t="s">
        <v>592</v>
      </c>
      <c r="G5" s="27" t="s">
        <v>593</v>
      </c>
      <c r="H5" s="69" t="n">
        <v>1</v>
      </c>
      <c r="I5" s="27" t="s">
        <v>594</v>
      </c>
      <c r="J5" s="27" t="s">
        <v>595</v>
      </c>
      <c r="K5" s="27" t="s">
        <v>596</v>
      </c>
    </row>
    <row r="6" customFormat="false" ht="36" hidden="false" customHeight="true" outlineLevel="0" collapsed="false">
      <c r="A6" s="58" t="s">
        <v>597</v>
      </c>
      <c r="B6" s="58" t="s">
        <v>23</v>
      </c>
      <c r="C6" s="58" t="s">
        <v>598</v>
      </c>
      <c r="D6" s="58" t="s">
        <v>599</v>
      </c>
      <c r="E6" s="58" t="s">
        <v>600</v>
      </c>
      <c r="F6" s="58" t="s">
        <v>601</v>
      </c>
      <c r="G6" s="58" t="s">
        <v>602</v>
      </c>
      <c r="H6" s="69" t="n">
        <v>2</v>
      </c>
      <c r="I6" s="58" t="s">
        <v>603</v>
      </c>
      <c r="J6" s="58" t="s">
        <v>604</v>
      </c>
      <c r="K6" s="58" t="s">
        <v>605</v>
      </c>
    </row>
    <row r="7" customFormat="false" ht="36" hidden="false" customHeight="true" outlineLevel="0" collapsed="false">
      <c r="A7" s="27" t="s">
        <v>606</v>
      </c>
      <c r="B7" s="27" t="s">
        <v>26</v>
      </c>
      <c r="C7" s="27" t="s">
        <v>607</v>
      </c>
      <c r="D7" s="27" t="s">
        <v>608</v>
      </c>
      <c r="E7" s="27" t="s">
        <v>609</v>
      </c>
      <c r="F7" s="27" t="s">
        <v>610</v>
      </c>
      <c r="G7" s="27" t="s">
        <v>611</v>
      </c>
      <c r="H7" s="69" t="n">
        <v>1</v>
      </c>
      <c r="I7" s="27" t="s">
        <v>612</v>
      </c>
      <c r="J7" s="27" t="s">
        <v>613</v>
      </c>
      <c r="K7" s="27" t="s">
        <v>614</v>
      </c>
    </row>
    <row r="8" customFormat="false" ht="36" hidden="false" customHeight="true" outlineLevel="0" collapsed="false">
      <c r="A8" s="58" t="s">
        <v>615</v>
      </c>
      <c r="B8" s="58" t="s">
        <v>26</v>
      </c>
      <c r="C8" s="58" t="s">
        <v>616</v>
      </c>
      <c r="D8" s="58" t="s">
        <v>617</v>
      </c>
      <c r="E8" s="58" t="s">
        <v>618</v>
      </c>
      <c r="F8" s="58" t="s">
        <v>619</v>
      </c>
      <c r="G8" s="58" t="s">
        <v>620</v>
      </c>
      <c r="H8" s="69" t="n">
        <v>3</v>
      </c>
      <c r="I8" s="58" t="s">
        <v>621</v>
      </c>
      <c r="J8" s="58" t="s">
        <v>622</v>
      </c>
      <c r="K8" s="58" t="s">
        <v>623</v>
      </c>
    </row>
    <row r="9" customFormat="false" ht="36" hidden="false" customHeight="true" outlineLevel="0" collapsed="false">
      <c r="A9" s="27" t="s">
        <v>624</v>
      </c>
      <c r="B9" s="27" t="s">
        <v>29</v>
      </c>
      <c r="C9" s="27" t="s">
        <v>625</v>
      </c>
      <c r="D9" s="27" t="s">
        <v>626</v>
      </c>
      <c r="E9" s="27" t="s">
        <v>627</v>
      </c>
      <c r="F9" s="27" t="s">
        <v>628</v>
      </c>
      <c r="G9" s="27" t="s">
        <v>629</v>
      </c>
      <c r="H9" s="69" t="n">
        <v>2</v>
      </c>
      <c r="I9" s="27" t="s">
        <v>630</v>
      </c>
      <c r="J9" s="27" t="s">
        <v>631</v>
      </c>
      <c r="K9" s="27" t="s">
        <v>632</v>
      </c>
    </row>
    <row r="10" customFormat="false" ht="36" hidden="false" customHeight="true" outlineLevel="0" collapsed="false">
      <c r="A10" s="58" t="s">
        <v>633</v>
      </c>
      <c r="B10" s="58" t="s">
        <v>32</v>
      </c>
      <c r="C10" s="58" t="s">
        <v>634</v>
      </c>
      <c r="D10" s="58" t="s">
        <v>635</v>
      </c>
      <c r="E10" s="58" t="s">
        <v>636</v>
      </c>
      <c r="F10" s="58" t="s">
        <v>637</v>
      </c>
      <c r="G10" s="58" t="s">
        <v>638</v>
      </c>
      <c r="H10" s="69" t="n">
        <v>3</v>
      </c>
      <c r="I10" s="58" t="s">
        <v>639</v>
      </c>
      <c r="J10" s="58" t="s">
        <v>640</v>
      </c>
      <c r="K10" s="58" t="s">
        <v>641</v>
      </c>
    </row>
    <row r="11" customFormat="false" ht="36" hidden="false" customHeight="true" outlineLevel="0" collapsed="false">
      <c r="A11" s="27" t="s">
        <v>642</v>
      </c>
      <c r="B11" s="27" t="s">
        <v>35</v>
      </c>
      <c r="C11" s="27" t="s">
        <v>643</v>
      </c>
      <c r="D11" s="27" t="s">
        <v>644</v>
      </c>
      <c r="E11" s="27" t="s">
        <v>645</v>
      </c>
      <c r="F11" s="27" t="s">
        <v>646</v>
      </c>
      <c r="G11" s="27" t="s">
        <v>647</v>
      </c>
      <c r="H11" s="69" t="n">
        <v>2</v>
      </c>
      <c r="I11" s="27" t="s">
        <v>648</v>
      </c>
      <c r="J11" s="27" t="s">
        <v>649</v>
      </c>
      <c r="K11" s="27" t="s">
        <v>650</v>
      </c>
    </row>
    <row r="12" customFormat="false" ht="36" hidden="false" customHeight="true" outlineLevel="0" collapsed="false">
      <c r="A12" s="58" t="s">
        <v>651</v>
      </c>
      <c r="B12" s="58" t="s">
        <v>35</v>
      </c>
      <c r="C12" s="58" t="s">
        <v>652</v>
      </c>
      <c r="D12" s="58" t="s">
        <v>653</v>
      </c>
      <c r="E12" s="58" t="s">
        <v>654</v>
      </c>
      <c r="F12" s="58" t="s">
        <v>655</v>
      </c>
      <c r="G12" s="58" t="s">
        <v>656</v>
      </c>
      <c r="H12" s="69" t="n">
        <v>3</v>
      </c>
      <c r="I12" s="58" t="s">
        <v>657</v>
      </c>
      <c r="J12" s="58" t="s">
        <v>658</v>
      </c>
      <c r="K12" s="58" t="s">
        <v>659</v>
      </c>
    </row>
    <row r="13" customFormat="false" ht="36" hidden="false" customHeight="true" outlineLevel="0" collapsed="false">
      <c r="A13" s="27" t="s">
        <v>660</v>
      </c>
      <c r="B13" s="27" t="s">
        <v>35</v>
      </c>
      <c r="C13" s="27" t="s">
        <v>661</v>
      </c>
      <c r="D13" s="27" t="s">
        <v>662</v>
      </c>
      <c r="E13" s="27" t="s">
        <v>663</v>
      </c>
      <c r="F13" s="27" t="s">
        <v>664</v>
      </c>
      <c r="G13" s="27" t="s">
        <v>665</v>
      </c>
      <c r="H13" s="69" t="n">
        <v>4</v>
      </c>
      <c r="I13" s="27" t="s">
        <v>666</v>
      </c>
      <c r="J13" s="27" t="s">
        <v>667</v>
      </c>
      <c r="K13" s="27" t="s">
        <v>668</v>
      </c>
    </row>
    <row r="14" customFormat="false" ht="36" hidden="false" customHeight="true" outlineLevel="0" collapsed="false">
      <c r="A14" s="58" t="s">
        <v>669</v>
      </c>
      <c r="B14" s="58" t="s">
        <v>670</v>
      </c>
      <c r="C14" s="58" t="s">
        <v>671</v>
      </c>
      <c r="D14" s="58" t="s">
        <v>672</v>
      </c>
      <c r="E14" s="58" t="s">
        <v>673</v>
      </c>
      <c r="F14" s="58" t="s">
        <v>674</v>
      </c>
      <c r="G14" s="58" t="s">
        <v>675</v>
      </c>
      <c r="H14" s="69" t="n">
        <v>2</v>
      </c>
      <c r="I14" s="58" t="s">
        <v>676</v>
      </c>
      <c r="J14" s="58" t="s">
        <v>677</v>
      </c>
      <c r="K14" s="58" t="s">
        <v>678</v>
      </c>
    </row>
    <row r="16" customFormat="false" ht="15" hidden="false" customHeight="true" outlineLevel="0" collapsed="false">
      <c r="A16" s="24" t="s">
        <v>679</v>
      </c>
      <c r="B16" s="24"/>
      <c r="C16" s="24"/>
      <c r="D16" s="24"/>
      <c r="E16" s="24"/>
      <c r="F16" s="24"/>
      <c r="G16" s="24"/>
      <c r="H16" s="24"/>
    </row>
    <row r="17" customFormat="false" ht="15" hidden="false" customHeight="true" outlineLevel="0" collapsed="false">
      <c r="A17" s="26" t="s">
        <v>680</v>
      </c>
      <c r="B17" s="70" t="s">
        <v>681</v>
      </c>
      <c r="C17" s="70"/>
      <c r="D17" s="70"/>
      <c r="E17" s="70"/>
      <c r="F17" s="70"/>
      <c r="G17" s="70"/>
      <c r="H17" s="70"/>
    </row>
    <row r="18" customFormat="false" ht="15" hidden="false" customHeight="true" outlineLevel="0" collapsed="false">
      <c r="A18" s="26" t="s">
        <v>682</v>
      </c>
      <c r="B18" s="70" t="s">
        <v>683</v>
      </c>
      <c r="C18" s="70"/>
      <c r="D18" s="70"/>
      <c r="E18" s="70"/>
      <c r="F18" s="70"/>
      <c r="G18" s="70"/>
      <c r="H18" s="70"/>
    </row>
    <row r="19" customFormat="false" ht="15" hidden="false" customHeight="true" outlineLevel="0" collapsed="false">
      <c r="A19" s="26" t="s">
        <v>684</v>
      </c>
      <c r="B19" s="70" t="s">
        <v>685</v>
      </c>
      <c r="C19" s="70"/>
      <c r="D19" s="70"/>
      <c r="E19" s="70"/>
      <c r="F19" s="70"/>
      <c r="G19" s="70"/>
      <c r="H19" s="70"/>
    </row>
    <row r="20" customFormat="false" ht="15" hidden="false" customHeight="true" outlineLevel="0" collapsed="false">
      <c r="A20" s="26" t="s">
        <v>686</v>
      </c>
      <c r="B20" s="70" t="s">
        <v>687</v>
      </c>
      <c r="C20" s="70"/>
      <c r="D20" s="70"/>
      <c r="E20" s="70"/>
      <c r="F20" s="70"/>
      <c r="G20" s="70"/>
      <c r="H20" s="70"/>
    </row>
    <row r="21" customFormat="false" ht="15" hidden="false" customHeight="true" outlineLevel="0" collapsed="false">
      <c r="A21" s="26" t="s">
        <v>688</v>
      </c>
      <c r="B21" s="70" t="s">
        <v>689</v>
      </c>
      <c r="C21" s="70"/>
      <c r="D21" s="70"/>
      <c r="E21" s="70"/>
      <c r="F21" s="70"/>
      <c r="G21" s="70"/>
      <c r="H21" s="70"/>
    </row>
    <row r="22" customFormat="false" ht="15" hidden="false" customHeight="true" outlineLevel="0" collapsed="false">
      <c r="A22" s="26" t="s">
        <v>690</v>
      </c>
      <c r="B22" s="70" t="s">
        <v>691</v>
      </c>
      <c r="C22" s="70"/>
      <c r="D22" s="70"/>
      <c r="E22" s="70"/>
      <c r="F22" s="70"/>
      <c r="G22" s="70"/>
      <c r="H22" s="70"/>
    </row>
    <row r="23" customFormat="false" ht="15" hidden="false" customHeight="true" outlineLevel="0" collapsed="false">
      <c r="A23" s="26" t="s">
        <v>692</v>
      </c>
      <c r="B23" s="70" t="s">
        <v>693</v>
      </c>
      <c r="C23" s="70"/>
      <c r="D23" s="70"/>
      <c r="E23" s="70"/>
      <c r="F23" s="70"/>
      <c r="G23" s="70"/>
      <c r="H23" s="70"/>
    </row>
    <row r="25" customFormat="false" ht="15" hidden="false" customHeight="true" outlineLevel="0" collapsed="false">
      <c r="A25" s="71" t="s">
        <v>694</v>
      </c>
    </row>
  </sheetData>
  <autoFilter ref="A4:H14"/>
  <mergeCells count="10">
    <mergeCell ref="A1:K1"/>
    <mergeCell ref="A2:K2"/>
    <mergeCell ref="A16:H16"/>
    <mergeCell ref="B17:H17"/>
    <mergeCell ref="B18:H18"/>
    <mergeCell ref="B19:H19"/>
    <mergeCell ref="B20:H20"/>
    <mergeCell ref="B21:H21"/>
    <mergeCell ref="B22:H22"/>
    <mergeCell ref="B23:H23"/>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12"/>
    <pageSetUpPr fitToPage="true"/>
  </sheetPr>
  <dimension ref="A1:J10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3" min="3" style="1" width="14"/>
    <col collapsed="false" customWidth="true" hidden="false" outlineLevel="0" max="4" min="4" style="1" width="20"/>
    <col collapsed="false" customWidth="true" hidden="false" outlineLevel="0" max="5" min="5" style="1" width="12"/>
    <col collapsed="false" customWidth="true" hidden="false" outlineLevel="0" max="6" min="6" style="1" width="16"/>
    <col collapsed="false" customWidth="true" hidden="false" outlineLevel="0" max="7" min="7" style="1" width="18"/>
    <col collapsed="false" customWidth="true" hidden="false" outlineLevel="0" max="9" min="8" style="1" width="14"/>
    <col collapsed="false" customWidth="true" hidden="false" outlineLevel="0" max="10" min="10" style="1" width="58"/>
  </cols>
  <sheetData>
    <row r="1" customFormat="false" ht="31.5" hidden="false" customHeight="true" outlineLevel="0" collapsed="false">
      <c r="A1" s="2" t="s">
        <v>0</v>
      </c>
      <c r="B1" s="2"/>
      <c r="C1" s="2"/>
      <c r="D1" s="2"/>
      <c r="E1" s="2"/>
      <c r="F1" s="2"/>
      <c r="G1" s="2"/>
      <c r="H1" s="2"/>
      <c r="I1" s="2"/>
      <c r="J1" s="2"/>
    </row>
    <row r="2" customFormat="false" ht="19.5" hidden="false" customHeight="true" outlineLevel="0" collapsed="false">
      <c r="A2" s="3" t="s">
        <v>695</v>
      </c>
      <c r="B2" s="3"/>
      <c r="C2" s="3"/>
      <c r="D2" s="3"/>
      <c r="E2" s="3"/>
      <c r="F2" s="3"/>
      <c r="G2" s="3"/>
      <c r="H2" s="3"/>
      <c r="I2" s="3"/>
      <c r="J2" s="3"/>
    </row>
    <row r="4" customFormat="false" ht="15" hidden="false" customHeight="true" outlineLevel="0" collapsed="false">
      <c r="A4" s="9" t="s">
        <v>362</v>
      </c>
      <c r="B4" s="9" t="s">
        <v>696</v>
      </c>
      <c r="C4" s="9" t="s">
        <v>446</v>
      </c>
      <c r="D4" s="9" t="s">
        <v>5</v>
      </c>
      <c r="E4" s="9" t="s">
        <v>697</v>
      </c>
      <c r="F4" s="9" t="s">
        <v>698</v>
      </c>
      <c r="G4" s="9" t="s">
        <v>699</v>
      </c>
      <c r="H4" s="9" t="s">
        <v>700</v>
      </c>
      <c r="I4" s="9" t="s">
        <v>44</v>
      </c>
      <c r="J4" s="9" t="s">
        <v>701</v>
      </c>
    </row>
    <row r="5" customFormat="false" ht="27" hidden="false" customHeight="true" outlineLevel="0" collapsed="false">
      <c r="A5" s="27" t="s">
        <v>702</v>
      </c>
      <c r="B5" s="27" t="s">
        <v>703</v>
      </c>
      <c r="C5" s="27" t="s">
        <v>23</v>
      </c>
      <c r="D5" s="27" t="s">
        <v>96</v>
      </c>
      <c r="E5" s="27" t="s">
        <v>704</v>
      </c>
      <c r="F5" s="27" t="s">
        <v>371</v>
      </c>
      <c r="G5" s="43" t="n">
        <v>5</v>
      </c>
      <c r="H5" s="27" t="s">
        <v>476</v>
      </c>
      <c r="I5" s="69" t="s">
        <v>705</v>
      </c>
      <c r="J5" s="27" t="s">
        <v>706</v>
      </c>
    </row>
    <row r="6" customFormat="false" ht="27" hidden="false" customHeight="true" outlineLevel="0" collapsed="false">
      <c r="A6" s="58" t="s">
        <v>707</v>
      </c>
      <c r="B6" s="58" t="s">
        <v>708</v>
      </c>
      <c r="C6" s="58" t="s">
        <v>709</v>
      </c>
      <c r="D6" s="58" t="s">
        <v>96</v>
      </c>
      <c r="E6" s="58" t="s">
        <v>704</v>
      </c>
      <c r="F6" s="58" t="s">
        <v>710</v>
      </c>
      <c r="G6" s="43" t="n">
        <v>8</v>
      </c>
      <c r="H6" s="58" t="s">
        <v>702</v>
      </c>
      <c r="I6" s="69" t="s">
        <v>705</v>
      </c>
      <c r="J6" s="58" t="s">
        <v>711</v>
      </c>
    </row>
    <row r="7" customFormat="false" ht="27" hidden="false" customHeight="true" outlineLevel="0" collapsed="false">
      <c r="A7" s="27" t="s">
        <v>712</v>
      </c>
      <c r="B7" s="27" t="s">
        <v>713</v>
      </c>
      <c r="C7" s="27" t="s">
        <v>709</v>
      </c>
      <c r="D7" s="27" t="s">
        <v>96</v>
      </c>
      <c r="E7" s="27" t="s">
        <v>704</v>
      </c>
      <c r="F7" s="27" t="s">
        <v>710</v>
      </c>
      <c r="G7" s="43" t="n">
        <v>3</v>
      </c>
      <c r="H7" s="27" t="s">
        <v>707</v>
      </c>
      <c r="I7" s="69" t="s">
        <v>705</v>
      </c>
      <c r="J7" s="27" t="s">
        <v>714</v>
      </c>
    </row>
    <row r="8" customFormat="false" ht="27" hidden="false" customHeight="true" outlineLevel="0" collapsed="false">
      <c r="A8" s="58" t="s">
        <v>715</v>
      </c>
      <c r="B8" s="58" t="s">
        <v>716</v>
      </c>
      <c r="C8" s="58" t="s">
        <v>717</v>
      </c>
      <c r="D8" s="58" t="s">
        <v>96</v>
      </c>
      <c r="E8" s="58" t="s">
        <v>704</v>
      </c>
      <c r="F8" s="58" t="s">
        <v>717</v>
      </c>
      <c r="G8" s="43" t="n">
        <v>5</v>
      </c>
      <c r="H8" s="58" t="s">
        <v>476</v>
      </c>
      <c r="I8" s="69" t="s">
        <v>718</v>
      </c>
      <c r="J8" s="58" t="s">
        <v>719</v>
      </c>
    </row>
    <row r="9" customFormat="false" ht="27" hidden="false" customHeight="true" outlineLevel="0" collapsed="false">
      <c r="A9" s="27" t="s">
        <v>455</v>
      </c>
      <c r="B9" s="27" t="s">
        <v>720</v>
      </c>
      <c r="C9" s="27" t="s">
        <v>721</v>
      </c>
      <c r="D9" s="27" t="s">
        <v>98</v>
      </c>
      <c r="E9" s="27" t="s">
        <v>704</v>
      </c>
      <c r="F9" s="27" t="s">
        <v>710</v>
      </c>
      <c r="G9" s="43" t="n">
        <v>8</v>
      </c>
      <c r="H9" s="27" t="s">
        <v>476</v>
      </c>
      <c r="I9" s="69" t="s">
        <v>722</v>
      </c>
      <c r="J9" s="27" t="s">
        <v>723</v>
      </c>
    </row>
    <row r="10" customFormat="false" ht="27" hidden="false" customHeight="true" outlineLevel="0" collapsed="false">
      <c r="A10" s="58" t="s">
        <v>474</v>
      </c>
      <c r="B10" s="58" t="s">
        <v>724</v>
      </c>
      <c r="C10" s="58" t="s">
        <v>725</v>
      </c>
      <c r="D10" s="58" t="s">
        <v>98</v>
      </c>
      <c r="E10" s="58" t="s">
        <v>704</v>
      </c>
      <c r="F10" s="58" t="s">
        <v>710</v>
      </c>
      <c r="G10" s="43" t="n">
        <v>10</v>
      </c>
      <c r="H10" s="58" t="s">
        <v>455</v>
      </c>
      <c r="I10" s="69" t="s">
        <v>722</v>
      </c>
      <c r="J10" s="58" t="s">
        <v>726</v>
      </c>
    </row>
    <row r="11" customFormat="false" ht="27" hidden="false" customHeight="true" outlineLevel="0" collapsed="false">
      <c r="A11" s="27" t="s">
        <v>594</v>
      </c>
      <c r="B11" s="27" t="s">
        <v>727</v>
      </c>
      <c r="C11" s="27" t="s">
        <v>23</v>
      </c>
      <c r="D11" s="27" t="s">
        <v>98</v>
      </c>
      <c r="E11" s="27" t="s">
        <v>704</v>
      </c>
      <c r="F11" s="27" t="s">
        <v>371</v>
      </c>
      <c r="G11" s="43" t="n">
        <v>12</v>
      </c>
      <c r="H11" s="27" t="s">
        <v>474</v>
      </c>
      <c r="I11" s="69" t="s">
        <v>705</v>
      </c>
      <c r="J11" s="27" t="s">
        <v>728</v>
      </c>
    </row>
    <row r="12" customFormat="false" ht="27" hidden="false" customHeight="true" outlineLevel="0" collapsed="false">
      <c r="A12" s="58" t="s">
        <v>603</v>
      </c>
      <c r="B12" s="58" t="s">
        <v>729</v>
      </c>
      <c r="C12" s="58" t="s">
        <v>23</v>
      </c>
      <c r="D12" s="58" t="s">
        <v>98</v>
      </c>
      <c r="E12" s="58" t="s">
        <v>704</v>
      </c>
      <c r="F12" s="58" t="s">
        <v>371</v>
      </c>
      <c r="G12" s="43" t="n">
        <v>6</v>
      </c>
      <c r="H12" s="58" t="s">
        <v>594</v>
      </c>
      <c r="I12" s="69" t="s">
        <v>718</v>
      </c>
      <c r="J12" s="58" t="s">
        <v>730</v>
      </c>
    </row>
    <row r="13" customFormat="false" ht="27" hidden="false" customHeight="true" outlineLevel="0" collapsed="false">
      <c r="A13" s="27" t="s">
        <v>612</v>
      </c>
      <c r="B13" s="27" t="s">
        <v>731</v>
      </c>
      <c r="C13" s="27" t="s">
        <v>26</v>
      </c>
      <c r="D13" s="27" t="s">
        <v>98</v>
      </c>
      <c r="E13" s="27" t="s">
        <v>704</v>
      </c>
      <c r="F13" s="27" t="s">
        <v>371</v>
      </c>
      <c r="G13" s="43" t="n">
        <v>8</v>
      </c>
      <c r="H13" s="27" t="s">
        <v>474</v>
      </c>
      <c r="I13" s="69" t="s">
        <v>705</v>
      </c>
      <c r="J13" s="27" t="s">
        <v>732</v>
      </c>
    </row>
    <row r="14" customFormat="false" ht="27" hidden="false" customHeight="true" outlineLevel="0" collapsed="false">
      <c r="A14" s="58" t="s">
        <v>733</v>
      </c>
      <c r="B14" s="58" t="s">
        <v>734</v>
      </c>
      <c r="C14" s="58" t="s">
        <v>415</v>
      </c>
      <c r="D14" s="58" t="s">
        <v>98</v>
      </c>
      <c r="E14" s="58" t="s">
        <v>704</v>
      </c>
      <c r="F14" s="58" t="s">
        <v>371</v>
      </c>
      <c r="G14" s="43" t="n">
        <v>8</v>
      </c>
      <c r="H14" s="58" t="s">
        <v>455</v>
      </c>
      <c r="I14" s="69" t="s">
        <v>705</v>
      </c>
      <c r="J14" s="58" t="s">
        <v>735</v>
      </c>
    </row>
    <row r="15" customFormat="false" ht="27" hidden="false" customHeight="true" outlineLevel="0" collapsed="false">
      <c r="A15" s="27" t="s">
        <v>648</v>
      </c>
      <c r="B15" s="27" t="s">
        <v>736</v>
      </c>
      <c r="C15" s="27" t="s">
        <v>35</v>
      </c>
      <c r="D15" s="27" t="s">
        <v>98</v>
      </c>
      <c r="E15" s="27" t="s">
        <v>704</v>
      </c>
      <c r="F15" s="27" t="s">
        <v>710</v>
      </c>
      <c r="G15" s="43" t="n">
        <v>8</v>
      </c>
      <c r="H15" s="27" t="s">
        <v>733</v>
      </c>
      <c r="I15" s="69" t="s">
        <v>705</v>
      </c>
      <c r="J15" s="27" t="s">
        <v>737</v>
      </c>
    </row>
    <row r="16" customFormat="false" ht="27" hidden="false" customHeight="true" outlineLevel="0" collapsed="false">
      <c r="A16" s="58" t="s">
        <v>738</v>
      </c>
      <c r="B16" s="58" t="s">
        <v>739</v>
      </c>
      <c r="C16" s="58" t="s">
        <v>581</v>
      </c>
      <c r="D16" s="58" t="s">
        <v>98</v>
      </c>
      <c r="E16" s="58" t="s">
        <v>704</v>
      </c>
      <c r="F16" s="58" t="s">
        <v>710</v>
      </c>
      <c r="G16" s="43" t="n">
        <v>6</v>
      </c>
      <c r="H16" s="58" t="s">
        <v>594</v>
      </c>
      <c r="I16" s="69" t="s">
        <v>722</v>
      </c>
      <c r="J16" s="58" t="s">
        <v>740</v>
      </c>
    </row>
    <row r="17" customFormat="false" ht="27" hidden="false" customHeight="true" outlineLevel="0" collapsed="false">
      <c r="A17" s="27" t="s">
        <v>520</v>
      </c>
      <c r="B17" s="27" t="s">
        <v>741</v>
      </c>
      <c r="C17" s="27" t="s">
        <v>742</v>
      </c>
      <c r="D17" s="27" t="s">
        <v>98</v>
      </c>
      <c r="E17" s="27" t="s">
        <v>704</v>
      </c>
      <c r="F17" s="27" t="s">
        <v>710</v>
      </c>
      <c r="G17" s="43" t="n">
        <v>4</v>
      </c>
      <c r="H17" s="27" t="s">
        <v>474</v>
      </c>
      <c r="I17" s="69" t="s">
        <v>722</v>
      </c>
      <c r="J17" s="27" t="s">
        <v>743</v>
      </c>
    </row>
    <row r="18" customFormat="false" ht="27" hidden="false" customHeight="true" outlineLevel="0" collapsed="false">
      <c r="A18" s="58" t="s">
        <v>744</v>
      </c>
      <c r="B18" s="58" t="s">
        <v>745</v>
      </c>
      <c r="C18" s="58" t="s">
        <v>746</v>
      </c>
      <c r="D18" s="58" t="s">
        <v>98</v>
      </c>
      <c r="E18" s="58" t="s">
        <v>704</v>
      </c>
      <c r="F18" s="58" t="s">
        <v>717</v>
      </c>
      <c r="G18" s="43" t="n">
        <v>5</v>
      </c>
      <c r="H18" s="58" t="s">
        <v>455</v>
      </c>
      <c r="I18" s="69" t="s">
        <v>718</v>
      </c>
      <c r="J18" s="58" t="s">
        <v>747</v>
      </c>
    </row>
    <row r="19" customFormat="false" ht="27" hidden="false" customHeight="true" outlineLevel="0" collapsed="false">
      <c r="A19" s="27" t="s">
        <v>464</v>
      </c>
      <c r="B19" s="27" t="s">
        <v>748</v>
      </c>
      <c r="C19" s="27" t="s">
        <v>721</v>
      </c>
      <c r="D19" s="27" t="s">
        <v>98</v>
      </c>
      <c r="E19" s="27" t="s">
        <v>704</v>
      </c>
      <c r="F19" s="27" t="s">
        <v>710</v>
      </c>
      <c r="G19" s="43" t="n">
        <v>3</v>
      </c>
      <c r="H19" s="27" t="s">
        <v>455</v>
      </c>
      <c r="I19" s="69" t="s">
        <v>722</v>
      </c>
      <c r="J19" s="27" t="s">
        <v>749</v>
      </c>
    </row>
    <row r="20" customFormat="false" ht="27" hidden="false" customHeight="true" outlineLevel="0" collapsed="false">
      <c r="A20" s="58" t="s">
        <v>478</v>
      </c>
      <c r="B20" s="58" t="s">
        <v>750</v>
      </c>
      <c r="C20" s="58" t="s">
        <v>725</v>
      </c>
      <c r="D20" s="58" t="s">
        <v>98</v>
      </c>
      <c r="E20" s="58" t="s">
        <v>704</v>
      </c>
      <c r="F20" s="58" t="s">
        <v>710</v>
      </c>
      <c r="G20" s="43" t="n">
        <v>4</v>
      </c>
      <c r="H20" s="58" t="s">
        <v>594</v>
      </c>
      <c r="I20" s="69" t="s">
        <v>722</v>
      </c>
      <c r="J20" s="58" t="s">
        <v>751</v>
      </c>
    </row>
    <row r="21" customFormat="false" ht="27" hidden="false" customHeight="true" outlineLevel="0" collapsed="false">
      <c r="A21" s="27" t="s">
        <v>752</v>
      </c>
      <c r="B21" s="27" t="s">
        <v>753</v>
      </c>
      <c r="C21" s="27" t="s">
        <v>754</v>
      </c>
      <c r="D21" s="27" t="s">
        <v>98</v>
      </c>
      <c r="E21" s="27" t="s">
        <v>704</v>
      </c>
      <c r="F21" s="27" t="s">
        <v>710</v>
      </c>
      <c r="G21" s="43" t="n">
        <v>3</v>
      </c>
      <c r="H21" s="27" t="s">
        <v>474</v>
      </c>
      <c r="I21" s="69" t="s">
        <v>722</v>
      </c>
      <c r="J21" s="27" t="s">
        <v>755</v>
      </c>
    </row>
    <row r="22" customFormat="false" ht="27" hidden="false" customHeight="true" outlineLevel="0" collapsed="false">
      <c r="A22" s="58" t="s">
        <v>756</v>
      </c>
      <c r="B22" s="58" t="s">
        <v>757</v>
      </c>
      <c r="C22" s="58" t="s">
        <v>581</v>
      </c>
      <c r="D22" s="58" t="s">
        <v>98</v>
      </c>
      <c r="E22" s="58" t="s">
        <v>704</v>
      </c>
      <c r="F22" s="58" t="s">
        <v>710</v>
      </c>
      <c r="G22" s="43" t="n">
        <v>3</v>
      </c>
      <c r="H22" s="58" t="s">
        <v>738</v>
      </c>
      <c r="I22" s="69" t="s">
        <v>718</v>
      </c>
      <c r="J22" s="58" t="s">
        <v>758</v>
      </c>
    </row>
    <row r="23" customFormat="false" ht="27" hidden="false" customHeight="true" outlineLevel="0" collapsed="false">
      <c r="A23" s="27" t="s">
        <v>759</v>
      </c>
      <c r="B23" s="27" t="s">
        <v>760</v>
      </c>
      <c r="C23" s="27" t="s">
        <v>761</v>
      </c>
      <c r="D23" s="27" t="s">
        <v>98</v>
      </c>
      <c r="E23" s="27" t="s">
        <v>762</v>
      </c>
      <c r="F23" s="27" t="s">
        <v>100</v>
      </c>
      <c r="G23" s="43" t="n">
        <v>3</v>
      </c>
      <c r="H23" s="27" t="s">
        <v>715</v>
      </c>
      <c r="I23" s="69" t="s">
        <v>718</v>
      </c>
      <c r="J23" s="27" t="s">
        <v>763</v>
      </c>
    </row>
    <row r="24" customFormat="false" ht="27" hidden="false" customHeight="true" outlineLevel="0" collapsed="false">
      <c r="A24" s="58" t="s">
        <v>487</v>
      </c>
      <c r="B24" s="58" t="s">
        <v>483</v>
      </c>
      <c r="C24" s="58" t="s">
        <v>725</v>
      </c>
      <c r="D24" s="58" t="s">
        <v>100</v>
      </c>
      <c r="E24" s="58" t="s">
        <v>704</v>
      </c>
      <c r="F24" s="58" t="s">
        <v>371</v>
      </c>
      <c r="G24" s="43" t="n">
        <v>8</v>
      </c>
      <c r="H24" s="58" t="s">
        <v>474</v>
      </c>
      <c r="I24" s="69" t="s">
        <v>722</v>
      </c>
      <c r="J24" s="58" t="s">
        <v>764</v>
      </c>
    </row>
    <row r="25" customFormat="false" ht="27" hidden="false" customHeight="true" outlineLevel="0" collapsed="false">
      <c r="A25" s="27" t="s">
        <v>676</v>
      </c>
      <c r="B25" s="27" t="s">
        <v>671</v>
      </c>
      <c r="C25" s="27" t="s">
        <v>725</v>
      </c>
      <c r="D25" s="27" t="s">
        <v>100</v>
      </c>
      <c r="E25" s="27" t="s">
        <v>704</v>
      </c>
      <c r="F25" s="27" t="s">
        <v>371</v>
      </c>
      <c r="G25" s="43" t="n">
        <v>5</v>
      </c>
      <c r="H25" s="27" t="s">
        <v>487</v>
      </c>
      <c r="I25" s="69" t="s">
        <v>722</v>
      </c>
      <c r="J25" s="27" t="s">
        <v>765</v>
      </c>
    </row>
    <row r="26" customFormat="false" ht="27" hidden="false" customHeight="true" outlineLevel="0" collapsed="false">
      <c r="A26" s="58" t="s">
        <v>766</v>
      </c>
      <c r="B26" s="58" t="s">
        <v>767</v>
      </c>
      <c r="C26" s="58" t="s">
        <v>725</v>
      </c>
      <c r="D26" s="58" t="s">
        <v>100</v>
      </c>
      <c r="E26" s="58" t="s">
        <v>704</v>
      </c>
      <c r="F26" s="58" t="s">
        <v>371</v>
      </c>
      <c r="G26" s="43" t="n">
        <v>10</v>
      </c>
      <c r="H26" s="58" t="s">
        <v>487</v>
      </c>
      <c r="I26" s="69" t="s">
        <v>718</v>
      </c>
      <c r="J26" s="58" t="s">
        <v>768</v>
      </c>
    </row>
    <row r="27" customFormat="false" ht="27" hidden="false" customHeight="true" outlineLevel="0" collapsed="false">
      <c r="A27" s="27" t="s">
        <v>630</v>
      </c>
      <c r="B27" s="27" t="s">
        <v>625</v>
      </c>
      <c r="C27" s="27" t="s">
        <v>29</v>
      </c>
      <c r="D27" s="27" t="s">
        <v>100</v>
      </c>
      <c r="E27" s="27" t="s">
        <v>704</v>
      </c>
      <c r="F27" s="27" t="s">
        <v>371</v>
      </c>
      <c r="G27" s="43" t="n">
        <v>10</v>
      </c>
      <c r="H27" s="27" t="s">
        <v>733</v>
      </c>
      <c r="I27" s="69" t="s">
        <v>722</v>
      </c>
      <c r="J27" s="27" t="s">
        <v>769</v>
      </c>
    </row>
    <row r="28" customFormat="false" ht="27" hidden="false" customHeight="true" outlineLevel="0" collapsed="false">
      <c r="A28" s="58" t="s">
        <v>639</v>
      </c>
      <c r="B28" s="58" t="s">
        <v>770</v>
      </c>
      <c r="C28" s="58" t="s">
        <v>32</v>
      </c>
      <c r="D28" s="58" t="s">
        <v>100</v>
      </c>
      <c r="E28" s="58" t="s">
        <v>704</v>
      </c>
      <c r="F28" s="58" t="s">
        <v>371</v>
      </c>
      <c r="G28" s="43" t="n">
        <v>6</v>
      </c>
      <c r="H28" s="58" t="s">
        <v>733</v>
      </c>
      <c r="I28" s="69" t="s">
        <v>722</v>
      </c>
      <c r="J28" s="58" t="s">
        <v>771</v>
      </c>
    </row>
    <row r="29" customFormat="false" ht="27" hidden="false" customHeight="true" outlineLevel="0" collapsed="false">
      <c r="A29" s="27" t="s">
        <v>621</v>
      </c>
      <c r="B29" s="27" t="s">
        <v>772</v>
      </c>
      <c r="C29" s="27" t="s">
        <v>26</v>
      </c>
      <c r="D29" s="27" t="s">
        <v>100</v>
      </c>
      <c r="E29" s="27" t="s">
        <v>762</v>
      </c>
      <c r="F29" s="27" t="s">
        <v>371</v>
      </c>
      <c r="G29" s="43" t="n">
        <v>5</v>
      </c>
      <c r="H29" s="27" t="s">
        <v>612</v>
      </c>
      <c r="I29" s="69" t="s">
        <v>718</v>
      </c>
      <c r="J29" s="27" t="s">
        <v>773</v>
      </c>
    </row>
    <row r="30" customFormat="false" ht="27" hidden="false" customHeight="true" outlineLevel="0" collapsed="false">
      <c r="A30" s="58" t="s">
        <v>666</v>
      </c>
      <c r="B30" s="58" t="s">
        <v>774</v>
      </c>
      <c r="C30" s="58" t="s">
        <v>721</v>
      </c>
      <c r="D30" s="58" t="s">
        <v>100</v>
      </c>
      <c r="E30" s="58" t="s">
        <v>704</v>
      </c>
      <c r="F30" s="58" t="s">
        <v>710</v>
      </c>
      <c r="G30" s="43" t="n">
        <v>5</v>
      </c>
      <c r="H30" s="58" t="s">
        <v>612</v>
      </c>
      <c r="I30" s="69" t="s">
        <v>722</v>
      </c>
      <c r="J30" s="58" t="s">
        <v>775</v>
      </c>
    </row>
    <row r="31" customFormat="false" ht="27" hidden="false" customHeight="true" outlineLevel="0" collapsed="false">
      <c r="A31" s="27" t="s">
        <v>531</v>
      </c>
      <c r="B31" s="27" t="s">
        <v>776</v>
      </c>
      <c r="C31" s="27" t="s">
        <v>415</v>
      </c>
      <c r="D31" s="27" t="s">
        <v>100</v>
      </c>
      <c r="E31" s="27" t="s">
        <v>704</v>
      </c>
      <c r="F31" s="27" t="s">
        <v>710</v>
      </c>
      <c r="G31" s="43" t="n">
        <v>8</v>
      </c>
      <c r="H31" s="27" t="s">
        <v>455</v>
      </c>
      <c r="I31" s="69" t="s">
        <v>722</v>
      </c>
      <c r="J31" s="27" t="s">
        <v>777</v>
      </c>
    </row>
    <row r="32" customFormat="false" ht="27" hidden="false" customHeight="true" outlineLevel="0" collapsed="false">
      <c r="A32" s="58" t="s">
        <v>778</v>
      </c>
      <c r="B32" s="58" t="s">
        <v>779</v>
      </c>
      <c r="C32" s="58" t="s">
        <v>35</v>
      </c>
      <c r="D32" s="58" t="s">
        <v>100</v>
      </c>
      <c r="E32" s="58" t="s">
        <v>704</v>
      </c>
      <c r="F32" s="58" t="s">
        <v>717</v>
      </c>
      <c r="G32" s="43" t="n">
        <v>8</v>
      </c>
      <c r="H32" s="58" t="s">
        <v>648</v>
      </c>
      <c r="I32" s="69" t="s">
        <v>722</v>
      </c>
      <c r="J32" s="58" t="s">
        <v>780</v>
      </c>
    </row>
    <row r="33" customFormat="false" ht="27" hidden="false" customHeight="true" outlineLevel="0" collapsed="false">
      <c r="A33" s="27" t="s">
        <v>657</v>
      </c>
      <c r="B33" s="27" t="s">
        <v>781</v>
      </c>
      <c r="C33" s="27" t="s">
        <v>35</v>
      </c>
      <c r="D33" s="27" t="s">
        <v>100</v>
      </c>
      <c r="E33" s="27" t="s">
        <v>704</v>
      </c>
      <c r="F33" s="27" t="s">
        <v>710</v>
      </c>
      <c r="G33" s="43" t="n">
        <v>6</v>
      </c>
      <c r="H33" s="27" t="s">
        <v>648</v>
      </c>
      <c r="I33" s="69" t="s">
        <v>718</v>
      </c>
      <c r="J33" s="27" t="s">
        <v>782</v>
      </c>
    </row>
    <row r="34" customFormat="false" ht="27" hidden="false" customHeight="true" outlineLevel="0" collapsed="false">
      <c r="A34" s="58" t="s">
        <v>783</v>
      </c>
      <c r="B34" s="58" t="s">
        <v>784</v>
      </c>
      <c r="C34" s="58" t="s">
        <v>785</v>
      </c>
      <c r="D34" s="58" t="s">
        <v>100</v>
      </c>
      <c r="E34" s="58" t="s">
        <v>704</v>
      </c>
      <c r="F34" s="58" t="s">
        <v>371</v>
      </c>
      <c r="G34" s="43" t="n">
        <v>6</v>
      </c>
      <c r="H34" s="58" t="s">
        <v>531</v>
      </c>
      <c r="I34" s="69" t="s">
        <v>722</v>
      </c>
      <c r="J34" s="58" t="s">
        <v>786</v>
      </c>
    </row>
    <row r="35" customFormat="false" ht="27" hidden="false" customHeight="true" outlineLevel="0" collapsed="false">
      <c r="A35" s="27" t="s">
        <v>787</v>
      </c>
      <c r="B35" s="27" t="s">
        <v>788</v>
      </c>
      <c r="C35" s="27" t="s">
        <v>785</v>
      </c>
      <c r="D35" s="27" t="s">
        <v>100</v>
      </c>
      <c r="E35" s="27" t="s">
        <v>704</v>
      </c>
      <c r="F35" s="27" t="s">
        <v>371</v>
      </c>
      <c r="G35" s="43" t="n">
        <v>6</v>
      </c>
      <c r="H35" s="27" t="s">
        <v>783</v>
      </c>
      <c r="I35" s="69" t="s">
        <v>718</v>
      </c>
      <c r="J35" s="27" t="s">
        <v>789</v>
      </c>
    </row>
    <row r="36" customFormat="false" ht="27" hidden="false" customHeight="true" outlineLevel="0" collapsed="false">
      <c r="A36" s="58" t="s">
        <v>790</v>
      </c>
      <c r="B36" s="58" t="s">
        <v>791</v>
      </c>
      <c r="C36" s="58" t="s">
        <v>785</v>
      </c>
      <c r="D36" s="58" t="s">
        <v>100</v>
      </c>
      <c r="E36" s="58" t="s">
        <v>704</v>
      </c>
      <c r="F36" s="58" t="s">
        <v>371</v>
      </c>
      <c r="G36" s="43" t="n">
        <v>3</v>
      </c>
      <c r="H36" s="58" t="s">
        <v>787</v>
      </c>
      <c r="I36" s="69" t="s">
        <v>718</v>
      </c>
      <c r="J36" s="58" t="s">
        <v>792</v>
      </c>
    </row>
    <row r="37" customFormat="false" ht="27" hidden="false" customHeight="true" outlineLevel="0" collapsed="false">
      <c r="A37" s="27" t="s">
        <v>793</v>
      </c>
      <c r="B37" s="27" t="s">
        <v>794</v>
      </c>
      <c r="C37" s="27" t="s">
        <v>795</v>
      </c>
      <c r="D37" s="27" t="s">
        <v>100</v>
      </c>
      <c r="E37" s="27" t="s">
        <v>762</v>
      </c>
      <c r="F37" s="27" t="s">
        <v>371</v>
      </c>
      <c r="G37" s="43" t="n">
        <v>6</v>
      </c>
      <c r="H37" s="27" t="s">
        <v>455</v>
      </c>
      <c r="I37" s="69" t="s">
        <v>718</v>
      </c>
      <c r="J37" s="27" t="s">
        <v>796</v>
      </c>
    </row>
    <row r="38" customFormat="false" ht="27" hidden="false" customHeight="true" outlineLevel="0" collapsed="false">
      <c r="A38" s="58" t="s">
        <v>797</v>
      </c>
      <c r="B38" s="58" t="s">
        <v>798</v>
      </c>
      <c r="C38" s="58" t="s">
        <v>415</v>
      </c>
      <c r="D38" s="58" t="s">
        <v>100</v>
      </c>
      <c r="E38" s="58" t="s">
        <v>762</v>
      </c>
      <c r="F38" s="58" t="s">
        <v>371</v>
      </c>
      <c r="G38" s="43" t="n">
        <v>5</v>
      </c>
      <c r="H38" s="58" t="s">
        <v>793</v>
      </c>
      <c r="I38" s="69" t="s">
        <v>718</v>
      </c>
      <c r="J38" s="58" t="s">
        <v>799</v>
      </c>
    </row>
    <row r="39" customFormat="false" ht="27" hidden="false" customHeight="true" outlineLevel="0" collapsed="false">
      <c r="A39" s="27" t="s">
        <v>523</v>
      </c>
      <c r="B39" s="27" t="s">
        <v>800</v>
      </c>
      <c r="C39" s="27" t="s">
        <v>742</v>
      </c>
      <c r="D39" s="27" t="s">
        <v>100</v>
      </c>
      <c r="E39" s="27" t="s">
        <v>704</v>
      </c>
      <c r="F39" s="27" t="s">
        <v>710</v>
      </c>
      <c r="G39" s="43" t="n">
        <v>5</v>
      </c>
      <c r="H39" s="27" t="s">
        <v>487</v>
      </c>
      <c r="I39" s="69" t="s">
        <v>722</v>
      </c>
      <c r="J39" s="27" t="s">
        <v>801</v>
      </c>
    </row>
    <row r="40" customFormat="false" ht="27" hidden="false" customHeight="true" outlineLevel="0" collapsed="false">
      <c r="A40" s="58" t="s">
        <v>527</v>
      </c>
      <c r="B40" s="58" t="s">
        <v>524</v>
      </c>
      <c r="C40" s="58" t="s">
        <v>415</v>
      </c>
      <c r="D40" s="58" t="s">
        <v>100</v>
      </c>
      <c r="E40" s="58" t="s">
        <v>704</v>
      </c>
      <c r="F40" s="58" t="s">
        <v>371</v>
      </c>
      <c r="G40" s="43" t="n">
        <v>4</v>
      </c>
      <c r="H40" s="58" t="s">
        <v>455</v>
      </c>
      <c r="I40" s="69" t="s">
        <v>718</v>
      </c>
      <c r="J40" s="58" t="s">
        <v>802</v>
      </c>
    </row>
    <row r="41" customFormat="false" ht="27" hidden="false" customHeight="true" outlineLevel="0" collapsed="false">
      <c r="A41" s="27" t="s">
        <v>535</v>
      </c>
      <c r="B41" s="27" t="s">
        <v>803</v>
      </c>
      <c r="C41" s="27" t="s">
        <v>415</v>
      </c>
      <c r="D41" s="27" t="s">
        <v>100</v>
      </c>
      <c r="E41" s="27" t="s">
        <v>704</v>
      </c>
      <c r="F41" s="27" t="s">
        <v>710</v>
      </c>
      <c r="G41" s="43" t="n">
        <v>6</v>
      </c>
      <c r="H41" s="27" t="s">
        <v>531</v>
      </c>
      <c r="I41" s="69" t="s">
        <v>722</v>
      </c>
      <c r="J41" s="27" t="s">
        <v>804</v>
      </c>
    </row>
    <row r="42" customFormat="false" ht="27" hidden="false" customHeight="true" outlineLevel="0" collapsed="false">
      <c r="A42" s="58" t="s">
        <v>805</v>
      </c>
      <c r="B42" s="58" t="s">
        <v>806</v>
      </c>
      <c r="C42" s="58" t="s">
        <v>415</v>
      </c>
      <c r="D42" s="58" t="s">
        <v>100</v>
      </c>
      <c r="E42" s="58" t="s">
        <v>762</v>
      </c>
      <c r="F42" s="58" t="s">
        <v>371</v>
      </c>
      <c r="G42" s="43" t="n">
        <v>2</v>
      </c>
      <c r="H42" s="58" t="s">
        <v>797</v>
      </c>
      <c r="I42" s="69" t="s">
        <v>718</v>
      </c>
      <c r="J42" s="58" t="s">
        <v>807</v>
      </c>
    </row>
    <row r="43" customFormat="false" ht="27" hidden="false" customHeight="true" outlineLevel="0" collapsed="false">
      <c r="A43" s="27" t="s">
        <v>808</v>
      </c>
      <c r="B43" s="27" t="s">
        <v>809</v>
      </c>
      <c r="C43" s="27" t="s">
        <v>810</v>
      </c>
      <c r="D43" s="27" t="s">
        <v>100</v>
      </c>
      <c r="E43" s="27" t="s">
        <v>704</v>
      </c>
      <c r="F43" s="27" t="s">
        <v>810</v>
      </c>
      <c r="G43" s="43" t="n">
        <v>10</v>
      </c>
      <c r="H43" s="27" t="s">
        <v>474</v>
      </c>
      <c r="I43" s="69" t="s">
        <v>718</v>
      </c>
      <c r="J43" s="27" t="s">
        <v>811</v>
      </c>
    </row>
    <row r="44" customFormat="false" ht="27" hidden="false" customHeight="true" outlineLevel="0" collapsed="false">
      <c r="A44" s="58" t="s">
        <v>812</v>
      </c>
      <c r="B44" s="58" t="s">
        <v>813</v>
      </c>
      <c r="C44" s="58" t="s">
        <v>709</v>
      </c>
      <c r="D44" s="58" t="s">
        <v>100</v>
      </c>
      <c r="E44" s="58" t="s">
        <v>704</v>
      </c>
      <c r="F44" s="58" t="s">
        <v>710</v>
      </c>
      <c r="G44" s="43" t="n">
        <v>5</v>
      </c>
      <c r="H44" s="58" t="s">
        <v>474</v>
      </c>
      <c r="I44" s="69" t="s">
        <v>722</v>
      </c>
      <c r="J44" s="58" t="s">
        <v>814</v>
      </c>
    </row>
    <row r="45" customFormat="false" ht="27" hidden="false" customHeight="true" outlineLevel="0" collapsed="false">
      <c r="A45" s="27" t="s">
        <v>815</v>
      </c>
      <c r="B45" s="27" t="s">
        <v>816</v>
      </c>
      <c r="C45" s="27" t="s">
        <v>746</v>
      </c>
      <c r="D45" s="27" t="s">
        <v>100</v>
      </c>
      <c r="E45" s="27" t="s">
        <v>704</v>
      </c>
      <c r="F45" s="27" t="s">
        <v>710</v>
      </c>
      <c r="G45" s="43" t="n">
        <v>4</v>
      </c>
      <c r="H45" s="27" t="s">
        <v>744</v>
      </c>
      <c r="I45" s="69" t="s">
        <v>718</v>
      </c>
      <c r="J45" s="27" t="s">
        <v>817</v>
      </c>
    </row>
    <row r="46" customFormat="false" ht="27" hidden="false" customHeight="true" outlineLevel="0" collapsed="false">
      <c r="A46" s="58" t="s">
        <v>818</v>
      </c>
      <c r="B46" s="58" t="s">
        <v>819</v>
      </c>
      <c r="C46" s="58" t="s">
        <v>581</v>
      </c>
      <c r="D46" s="58" t="s">
        <v>100</v>
      </c>
      <c r="E46" s="58" t="s">
        <v>704</v>
      </c>
      <c r="F46" s="58" t="s">
        <v>371</v>
      </c>
      <c r="G46" s="43" t="n">
        <v>5</v>
      </c>
      <c r="H46" s="58" t="s">
        <v>738</v>
      </c>
      <c r="I46" s="69" t="s">
        <v>718</v>
      </c>
      <c r="J46" s="58" t="s">
        <v>820</v>
      </c>
    </row>
    <row r="47" customFormat="false" ht="27" hidden="false" customHeight="true" outlineLevel="0" collapsed="false">
      <c r="A47" s="27" t="s">
        <v>821</v>
      </c>
      <c r="B47" s="27" t="s">
        <v>822</v>
      </c>
      <c r="C47" s="27" t="s">
        <v>795</v>
      </c>
      <c r="D47" s="27" t="s">
        <v>100</v>
      </c>
      <c r="E47" s="27" t="s">
        <v>704</v>
      </c>
      <c r="F47" s="27" t="s">
        <v>371</v>
      </c>
      <c r="G47" s="43" t="n">
        <v>4</v>
      </c>
      <c r="H47" s="27" t="s">
        <v>455</v>
      </c>
      <c r="I47" s="69" t="s">
        <v>718</v>
      </c>
      <c r="J47" s="27" t="s">
        <v>823</v>
      </c>
    </row>
    <row r="48" customFormat="false" ht="27" hidden="false" customHeight="true" outlineLevel="0" collapsed="false">
      <c r="A48" s="58" t="s">
        <v>824</v>
      </c>
      <c r="B48" s="58" t="s">
        <v>825</v>
      </c>
      <c r="C48" s="58" t="s">
        <v>485</v>
      </c>
      <c r="D48" s="58" t="s">
        <v>100</v>
      </c>
      <c r="E48" s="58" t="s">
        <v>704</v>
      </c>
      <c r="F48" s="58" t="s">
        <v>100</v>
      </c>
      <c r="G48" s="43" t="n">
        <v>3</v>
      </c>
      <c r="H48" s="58" t="s">
        <v>787</v>
      </c>
      <c r="I48" s="69" t="s">
        <v>718</v>
      </c>
      <c r="J48" s="58" t="s">
        <v>826</v>
      </c>
    </row>
    <row r="49" customFormat="false" ht="27" hidden="false" customHeight="true" outlineLevel="0" collapsed="false">
      <c r="A49" s="27" t="s">
        <v>827</v>
      </c>
      <c r="B49" s="27" t="s">
        <v>828</v>
      </c>
      <c r="C49" s="27" t="s">
        <v>829</v>
      </c>
      <c r="D49" s="27" t="s">
        <v>100</v>
      </c>
      <c r="E49" s="27" t="s">
        <v>762</v>
      </c>
      <c r="F49" s="27" t="s">
        <v>710</v>
      </c>
      <c r="G49" s="43" t="n">
        <v>2</v>
      </c>
      <c r="H49" s="27" t="s">
        <v>815</v>
      </c>
      <c r="I49" s="69" t="s">
        <v>718</v>
      </c>
      <c r="J49" s="27" t="s">
        <v>830</v>
      </c>
    </row>
    <row r="50" customFormat="false" ht="27" hidden="false" customHeight="true" outlineLevel="0" collapsed="false">
      <c r="A50" s="58" t="s">
        <v>831</v>
      </c>
      <c r="B50" s="58" t="s">
        <v>832</v>
      </c>
      <c r="C50" s="58" t="s">
        <v>833</v>
      </c>
      <c r="D50" s="58" t="s">
        <v>100</v>
      </c>
      <c r="E50" s="58" t="s">
        <v>704</v>
      </c>
      <c r="F50" s="58" t="s">
        <v>100</v>
      </c>
      <c r="G50" s="43" t="n">
        <v>4</v>
      </c>
      <c r="H50" s="58" t="s">
        <v>752</v>
      </c>
      <c r="I50" s="69" t="s">
        <v>718</v>
      </c>
      <c r="J50" s="58" t="s">
        <v>834</v>
      </c>
    </row>
    <row r="51" customFormat="false" ht="27" hidden="false" customHeight="true" outlineLevel="0" collapsed="false">
      <c r="A51" s="27" t="s">
        <v>835</v>
      </c>
      <c r="B51" s="27" t="s">
        <v>836</v>
      </c>
      <c r="C51" s="27" t="s">
        <v>837</v>
      </c>
      <c r="D51" s="27" t="s">
        <v>102</v>
      </c>
      <c r="E51" s="27" t="s">
        <v>704</v>
      </c>
      <c r="F51" s="27" t="s">
        <v>710</v>
      </c>
      <c r="G51" s="43" t="n">
        <v>8</v>
      </c>
      <c r="H51" s="27" t="s">
        <v>766</v>
      </c>
      <c r="I51" s="69" t="s">
        <v>718</v>
      </c>
      <c r="J51" s="27" t="s">
        <v>838</v>
      </c>
    </row>
    <row r="52" customFormat="false" ht="27" hidden="false" customHeight="true" outlineLevel="0" collapsed="false">
      <c r="A52" s="58" t="s">
        <v>839</v>
      </c>
      <c r="B52" s="58" t="s">
        <v>840</v>
      </c>
      <c r="C52" s="58" t="s">
        <v>837</v>
      </c>
      <c r="D52" s="58" t="s">
        <v>102</v>
      </c>
      <c r="E52" s="58" t="s">
        <v>704</v>
      </c>
      <c r="F52" s="58" t="s">
        <v>371</v>
      </c>
      <c r="G52" s="43" t="n">
        <v>5</v>
      </c>
      <c r="H52" s="58" t="s">
        <v>657</v>
      </c>
      <c r="I52" s="69" t="s">
        <v>718</v>
      </c>
      <c r="J52" s="58" t="s">
        <v>841</v>
      </c>
    </row>
    <row r="53" customFormat="false" ht="27" hidden="false" customHeight="true" outlineLevel="0" collapsed="false">
      <c r="A53" s="27" t="s">
        <v>511</v>
      </c>
      <c r="B53" s="27" t="s">
        <v>842</v>
      </c>
      <c r="C53" s="27" t="s">
        <v>837</v>
      </c>
      <c r="D53" s="27" t="s">
        <v>102</v>
      </c>
      <c r="E53" s="27" t="s">
        <v>704</v>
      </c>
      <c r="F53" s="27" t="s">
        <v>371</v>
      </c>
      <c r="G53" s="43" t="n">
        <v>6</v>
      </c>
      <c r="H53" s="27" t="s">
        <v>839</v>
      </c>
      <c r="I53" s="69" t="s">
        <v>718</v>
      </c>
      <c r="J53" s="27" t="s">
        <v>843</v>
      </c>
    </row>
    <row r="54" customFormat="false" ht="27" hidden="false" customHeight="true" outlineLevel="0" collapsed="false">
      <c r="A54" s="58" t="s">
        <v>844</v>
      </c>
      <c r="B54" s="58" t="s">
        <v>845</v>
      </c>
      <c r="C54" s="58" t="s">
        <v>725</v>
      </c>
      <c r="D54" s="58" t="s">
        <v>102</v>
      </c>
      <c r="E54" s="58" t="s">
        <v>762</v>
      </c>
      <c r="F54" s="58" t="s">
        <v>371</v>
      </c>
      <c r="G54" s="43" t="n">
        <v>6</v>
      </c>
      <c r="H54" s="58" t="s">
        <v>766</v>
      </c>
      <c r="I54" s="69" t="s">
        <v>718</v>
      </c>
      <c r="J54" s="58" t="s">
        <v>846</v>
      </c>
    </row>
    <row r="55" customFormat="false" ht="27" hidden="false" customHeight="true" outlineLevel="0" collapsed="false">
      <c r="A55" s="27" t="s">
        <v>847</v>
      </c>
      <c r="B55" s="27" t="s">
        <v>848</v>
      </c>
      <c r="C55" s="27" t="s">
        <v>415</v>
      </c>
      <c r="D55" s="27" t="s">
        <v>102</v>
      </c>
      <c r="E55" s="27" t="s">
        <v>849</v>
      </c>
      <c r="F55" s="27" t="s">
        <v>371</v>
      </c>
      <c r="G55" s="43" t="n">
        <v>4</v>
      </c>
      <c r="H55" s="27" t="s">
        <v>790</v>
      </c>
      <c r="I55" s="69" t="s">
        <v>718</v>
      </c>
      <c r="J55" s="27" t="s">
        <v>850</v>
      </c>
    </row>
    <row r="56" customFormat="false" ht="27" hidden="false" customHeight="true" outlineLevel="0" collapsed="false">
      <c r="A56" s="58" t="s">
        <v>851</v>
      </c>
      <c r="B56" s="58" t="s">
        <v>852</v>
      </c>
      <c r="C56" s="58" t="s">
        <v>26</v>
      </c>
      <c r="D56" s="58" t="s">
        <v>102</v>
      </c>
      <c r="E56" s="58" t="s">
        <v>849</v>
      </c>
      <c r="F56" s="58" t="s">
        <v>371</v>
      </c>
      <c r="G56" s="43" t="n">
        <v>4</v>
      </c>
      <c r="H56" s="58" t="s">
        <v>612</v>
      </c>
      <c r="I56" s="69" t="s">
        <v>718</v>
      </c>
      <c r="J56" s="58" t="s">
        <v>853</v>
      </c>
    </row>
    <row r="57" customFormat="false" ht="27" hidden="false" customHeight="true" outlineLevel="0" collapsed="false">
      <c r="A57" s="27" t="s">
        <v>854</v>
      </c>
      <c r="B57" s="27" t="s">
        <v>855</v>
      </c>
      <c r="C57" s="27" t="s">
        <v>795</v>
      </c>
      <c r="D57" s="27" t="s">
        <v>102</v>
      </c>
      <c r="E57" s="27" t="s">
        <v>704</v>
      </c>
      <c r="F57" s="27" t="s">
        <v>710</v>
      </c>
      <c r="G57" s="43" t="n">
        <v>8</v>
      </c>
      <c r="H57" s="27" t="s">
        <v>835</v>
      </c>
      <c r="I57" s="69" t="s">
        <v>718</v>
      </c>
      <c r="J57" s="27" t="s">
        <v>856</v>
      </c>
    </row>
    <row r="58" customFormat="false" ht="27" hidden="false" customHeight="true" outlineLevel="0" collapsed="false">
      <c r="A58" s="58" t="s">
        <v>857</v>
      </c>
      <c r="B58" s="58" t="s">
        <v>858</v>
      </c>
      <c r="C58" s="58" t="s">
        <v>581</v>
      </c>
      <c r="D58" s="58" t="s">
        <v>102</v>
      </c>
      <c r="E58" s="58" t="s">
        <v>762</v>
      </c>
      <c r="F58" s="58" t="s">
        <v>710</v>
      </c>
      <c r="G58" s="43" t="n">
        <v>4</v>
      </c>
      <c r="H58" s="58" t="s">
        <v>738</v>
      </c>
      <c r="I58" s="69" t="s">
        <v>718</v>
      </c>
      <c r="J58" s="58" t="s">
        <v>859</v>
      </c>
    </row>
    <row r="59" customFormat="false" ht="27" hidden="false" customHeight="true" outlineLevel="0" collapsed="false">
      <c r="A59" s="27" t="s">
        <v>860</v>
      </c>
      <c r="B59" s="27" t="s">
        <v>861</v>
      </c>
      <c r="C59" s="27" t="s">
        <v>721</v>
      </c>
      <c r="D59" s="27" t="s">
        <v>102</v>
      </c>
      <c r="E59" s="27" t="s">
        <v>704</v>
      </c>
      <c r="F59" s="27" t="s">
        <v>371</v>
      </c>
      <c r="G59" s="43" t="n">
        <v>5</v>
      </c>
      <c r="H59" s="27" t="s">
        <v>752</v>
      </c>
      <c r="I59" s="69" t="s">
        <v>718</v>
      </c>
      <c r="J59" s="27" t="s">
        <v>862</v>
      </c>
    </row>
    <row r="60" customFormat="false" ht="27" hidden="false" customHeight="true" outlineLevel="0" collapsed="false">
      <c r="A60" s="58" t="s">
        <v>863</v>
      </c>
      <c r="B60" s="58" t="s">
        <v>864</v>
      </c>
      <c r="C60" s="58" t="s">
        <v>865</v>
      </c>
      <c r="D60" s="58" t="s">
        <v>102</v>
      </c>
      <c r="E60" s="58" t="s">
        <v>704</v>
      </c>
      <c r="F60" s="58" t="s">
        <v>865</v>
      </c>
      <c r="G60" s="43" t="n">
        <v>4</v>
      </c>
      <c r="H60" s="58" t="s">
        <v>854</v>
      </c>
      <c r="I60" s="69" t="s">
        <v>718</v>
      </c>
      <c r="J60" s="58" t="s">
        <v>866</v>
      </c>
    </row>
    <row r="61" customFormat="false" ht="27" hidden="false" customHeight="true" outlineLevel="0" collapsed="false">
      <c r="A61" s="27" t="s">
        <v>867</v>
      </c>
      <c r="B61" s="27" t="s">
        <v>868</v>
      </c>
      <c r="C61" s="27" t="s">
        <v>795</v>
      </c>
      <c r="D61" s="27" t="s">
        <v>104</v>
      </c>
      <c r="E61" s="27" t="s">
        <v>704</v>
      </c>
      <c r="F61" s="27" t="s">
        <v>371</v>
      </c>
      <c r="G61" s="43" t="n">
        <v>3</v>
      </c>
      <c r="H61" s="27" t="s">
        <v>854</v>
      </c>
      <c r="I61" s="69" t="s">
        <v>718</v>
      </c>
      <c r="J61" s="27" t="s">
        <v>869</v>
      </c>
    </row>
    <row r="62" customFormat="false" ht="27" hidden="false" customHeight="true" outlineLevel="0" collapsed="false">
      <c r="A62" s="58" t="s">
        <v>870</v>
      </c>
      <c r="B62" s="58" t="s">
        <v>871</v>
      </c>
      <c r="C62" s="58" t="s">
        <v>581</v>
      </c>
      <c r="D62" s="58" t="s">
        <v>104</v>
      </c>
      <c r="E62" s="58" t="s">
        <v>704</v>
      </c>
      <c r="F62" s="58" t="s">
        <v>710</v>
      </c>
      <c r="G62" s="43" t="n">
        <v>5</v>
      </c>
      <c r="H62" s="58" t="s">
        <v>738</v>
      </c>
      <c r="I62" s="69" t="s">
        <v>718</v>
      </c>
      <c r="J62" s="58" t="s">
        <v>872</v>
      </c>
    </row>
    <row r="63" customFormat="false" ht="27" hidden="false" customHeight="true" outlineLevel="0" collapsed="false">
      <c r="A63" s="27" t="s">
        <v>873</v>
      </c>
      <c r="B63" s="27" t="s">
        <v>874</v>
      </c>
      <c r="C63" s="27" t="s">
        <v>875</v>
      </c>
      <c r="D63" s="27" t="s">
        <v>104</v>
      </c>
      <c r="E63" s="27" t="s">
        <v>704</v>
      </c>
      <c r="F63" s="27" t="s">
        <v>371</v>
      </c>
      <c r="G63" s="43" t="n">
        <v>6</v>
      </c>
      <c r="H63" s="27" t="s">
        <v>854</v>
      </c>
      <c r="I63" s="69" t="s">
        <v>722</v>
      </c>
      <c r="J63" s="27" t="s">
        <v>876</v>
      </c>
    </row>
    <row r="64" customFormat="false" ht="27" hidden="false" customHeight="true" outlineLevel="0" collapsed="false">
      <c r="A64" s="58" t="s">
        <v>877</v>
      </c>
      <c r="B64" s="58" t="s">
        <v>878</v>
      </c>
      <c r="C64" s="58" t="s">
        <v>829</v>
      </c>
      <c r="D64" s="58" t="s">
        <v>104</v>
      </c>
      <c r="E64" s="58" t="s">
        <v>704</v>
      </c>
      <c r="F64" s="58" t="s">
        <v>371</v>
      </c>
      <c r="G64" s="43" t="n">
        <v>3</v>
      </c>
      <c r="H64" s="58" t="s">
        <v>867</v>
      </c>
      <c r="I64" s="69" t="s">
        <v>718</v>
      </c>
      <c r="J64" s="58" t="s">
        <v>879</v>
      </c>
    </row>
    <row r="65" customFormat="false" ht="27" hidden="false" customHeight="true" outlineLevel="0" collapsed="false">
      <c r="A65" s="27" t="s">
        <v>880</v>
      </c>
      <c r="B65" s="27" t="s">
        <v>881</v>
      </c>
      <c r="C65" s="27" t="s">
        <v>709</v>
      </c>
      <c r="D65" s="27" t="s">
        <v>104</v>
      </c>
      <c r="E65" s="27" t="s">
        <v>704</v>
      </c>
      <c r="F65" s="27" t="s">
        <v>710</v>
      </c>
      <c r="G65" s="43" t="n">
        <v>4</v>
      </c>
      <c r="H65" s="27" t="s">
        <v>854</v>
      </c>
      <c r="I65" s="69" t="s">
        <v>718</v>
      </c>
      <c r="J65" s="27" t="s">
        <v>882</v>
      </c>
    </row>
    <row r="66" customFormat="false" ht="27" hidden="false" customHeight="true" outlineLevel="0" collapsed="false">
      <c r="A66" s="58" t="s">
        <v>883</v>
      </c>
      <c r="B66" s="58" t="s">
        <v>884</v>
      </c>
      <c r="C66" s="58" t="s">
        <v>761</v>
      </c>
      <c r="D66" s="58" t="s">
        <v>104</v>
      </c>
      <c r="E66" s="58" t="s">
        <v>762</v>
      </c>
      <c r="F66" s="58" t="s">
        <v>710</v>
      </c>
      <c r="G66" s="43" t="n">
        <v>4</v>
      </c>
      <c r="H66" s="58" t="s">
        <v>812</v>
      </c>
      <c r="I66" s="69" t="s">
        <v>718</v>
      </c>
      <c r="J66" s="58" t="s">
        <v>885</v>
      </c>
    </row>
    <row r="67" customFormat="false" ht="27" hidden="false" customHeight="true" outlineLevel="0" collapsed="false">
      <c r="A67" s="27" t="s">
        <v>886</v>
      </c>
      <c r="B67" s="27" t="s">
        <v>887</v>
      </c>
      <c r="C67" s="27" t="s">
        <v>761</v>
      </c>
      <c r="D67" s="27" t="s">
        <v>106</v>
      </c>
      <c r="E67" s="27" t="s">
        <v>704</v>
      </c>
      <c r="F67" s="27" t="s">
        <v>100</v>
      </c>
      <c r="G67" s="43" t="n">
        <v>5</v>
      </c>
      <c r="H67" s="27" t="s">
        <v>867</v>
      </c>
      <c r="I67" s="69" t="s">
        <v>718</v>
      </c>
      <c r="J67" s="27" t="s">
        <v>888</v>
      </c>
    </row>
    <row r="68" customFormat="false" ht="27" hidden="false" customHeight="true" outlineLevel="0" collapsed="false">
      <c r="A68" s="58" t="s">
        <v>889</v>
      </c>
      <c r="B68" s="58" t="s">
        <v>890</v>
      </c>
      <c r="C68" s="58" t="s">
        <v>761</v>
      </c>
      <c r="D68" s="58" t="s">
        <v>106</v>
      </c>
      <c r="E68" s="58" t="s">
        <v>704</v>
      </c>
      <c r="F68" s="58" t="s">
        <v>100</v>
      </c>
      <c r="G68" s="43" t="n">
        <v>1</v>
      </c>
      <c r="H68" s="58" t="s">
        <v>886</v>
      </c>
      <c r="I68" s="69" t="s">
        <v>718</v>
      </c>
      <c r="J68" s="58" t="s">
        <v>891</v>
      </c>
    </row>
    <row r="69" customFormat="false" ht="27" hidden="false" customHeight="true" outlineLevel="0" collapsed="false">
      <c r="A69" s="27" t="s">
        <v>892</v>
      </c>
      <c r="B69" s="27" t="s">
        <v>893</v>
      </c>
      <c r="C69" s="27" t="s">
        <v>761</v>
      </c>
      <c r="D69" s="27" t="s">
        <v>106</v>
      </c>
      <c r="E69" s="27" t="s">
        <v>704</v>
      </c>
      <c r="F69" s="27" t="s">
        <v>710</v>
      </c>
      <c r="G69" s="43" t="n">
        <v>3</v>
      </c>
      <c r="H69" s="27" t="s">
        <v>880</v>
      </c>
      <c r="I69" s="69" t="s">
        <v>718</v>
      </c>
      <c r="J69" s="27" t="s">
        <v>894</v>
      </c>
    </row>
    <row r="70" customFormat="false" ht="15" hidden="false" customHeight="true" outlineLevel="0" collapsed="false">
      <c r="A70" s="58"/>
      <c r="B70" s="58"/>
      <c r="C70" s="58"/>
      <c r="D70" s="58"/>
      <c r="E70" s="58"/>
      <c r="F70" s="58"/>
      <c r="G70" s="43"/>
      <c r="H70" s="58"/>
      <c r="I70" s="69"/>
      <c r="J70" s="58"/>
    </row>
    <row r="71" customFormat="false" ht="15" hidden="false" customHeight="true" outlineLevel="0" collapsed="false">
      <c r="A71" s="27"/>
      <c r="B71" s="27"/>
      <c r="C71" s="27"/>
      <c r="D71" s="27"/>
      <c r="E71" s="27"/>
      <c r="F71" s="27"/>
      <c r="G71" s="43"/>
      <c r="H71" s="27"/>
      <c r="I71" s="69"/>
      <c r="J71" s="27"/>
    </row>
    <row r="72" customFormat="false" ht="15" hidden="false" customHeight="true" outlineLevel="0" collapsed="false">
      <c r="A72" s="58"/>
      <c r="B72" s="58"/>
      <c r="C72" s="58"/>
      <c r="D72" s="58"/>
      <c r="E72" s="58"/>
      <c r="F72" s="58"/>
      <c r="G72" s="43"/>
      <c r="H72" s="58"/>
      <c r="I72" s="69"/>
      <c r="J72" s="58"/>
    </row>
    <row r="73" customFormat="false" ht="15" hidden="false" customHeight="true" outlineLevel="0" collapsed="false">
      <c r="A73" s="27"/>
      <c r="B73" s="27"/>
      <c r="C73" s="27"/>
      <c r="D73" s="27"/>
      <c r="E73" s="27"/>
      <c r="F73" s="27"/>
      <c r="G73" s="43"/>
      <c r="H73" s="27"/>
      <c r="I73" s="69"/>
      <c r="J73" s="27"/>
    </row>
    <row r="74" customFormat="false" ht="15" hidden="false" customHeight="true" outlineLevel="0" collapsed="false">
      <c r="A74" s="58"/>
      <c r="B74" s="58"/>
      <c r="C74" s="58"/>
      <c r="D74" s="58"/>
      <c r="E74" s="58"/>
      <c r="F74" s="58"/>
      <c r="G74" s="43"/>
      <c r="H74" s="58"/>
      <c r="I74" s="69"/>
      <c r="J74" s="58"/>
    </row>
    <row r="75" customFormat="false" ht="15" hidden="false" customHeight="true" outlineLevel="0" collapsed="false">
      <c r="A75" s="27"/>
      <c r="B75" s="27"/>
      <c r="C75" s="27"/>
      <c r="D75" s="27"/>
      <c r="E75" s="27"/>
      <c r="F75" s="27"/>
      <c r="G75" s="43"/>
      <c r="H75" s="27"/>
      <c r="I75" s="69"/>
      <c r="J75" s="27"/>
    </row>
    <row r="76" customFormat="false" ht="15" hidden="false" customHeight="true" outlineLevel="0" collapsed="false">
      <c r="A76" s="58"/>
      <c r="B76" s="58"/>
      <c r="C76" s="58"/>
      <c r="D76" s="58"/>
      <c r="E76" s="58"/>
      <c r="F76" s="58"/>
      <c r="G76" s="43"/>
      <c r="H76" s="58"/>
      <c r="I76" s="69"/>
      <c r="J76" s="58"/>
    </row>
    <row r="77" customFormat="false" ht="15" hidden="false" customHeight="true" outlineLevel="0" collapsed="false">
      <c r="A77" s="27"/>
      <c r="B77" s="27"/>
      <c r="C77" s="27"/>
      <c r="D77" s="27"/>
      <c r="E77" s="27"/>
      <c r="F77" s="27"/>
      <c r="G77" s="43"/>
      <c r="H77" s="27"/>
      <c r="I77" s="69"/>
      <c r="J77" s="27"/>
    </row>
    <row r="78" customFormat="false" ht="15" hidden="false" customHeight="true" outlineLevel="0" collapsed="false">
      <c r="A78" s="58"/>
      <c r="B78" s="58"/>
      <c r="C78" s="58"/>
      <c r="D78" s="58"/>
      <c r="E78" s="58"/>
      <c r="F78" s="58"/>
      <c r="G78" s="43"/>
      <c r="H78" s="58"/>
      <c r="I78" s="69"/>
      <c r="J78" s="58"/>
    </row>
    <row r="79" customFormat="false" ht="15" hidden="false" customHeight="true" outlineLevel="0" collapsed="false">
      <c r="A79" s="27"/>
      <c r="B79" s="27"/>
      <c r="C79" s="27"/>
      <c r="D79" s="27"/>
      <c r="E79" s="27"/>
      <c r="F79" s="27"/>
      <c r="G79" s="43"/>
      <c r="H79" s="27"/>
      <c r="I79" s="69"/>
      <c r="J79" s="27"/>
    </row>
    <row r="80" customFormat="false" ht="15" hidden="false" customHeight="true" outlineLevel="0" collapsed="false">
      <c r="A80" s="58"/>
      <c r="B80" s="58"/>
      <c r="C80" s="58"/>
      <c r="D80" s="58"/>
      <c r="E80" s="58"/>
      <c r="F80" s="58"/>
      <c r="G80" s="43"/>
      <c r="H80" s="58"/>
      <c r="I80" s="69"/>
      <c r="J80" s="58"/>
    </row>
    <row r="82" customFormat="false" ht="15" hidden="false" customHeight="true" outlineLevel="0" collapsed="false">
      <c r="D82" s="72" t="s">
        <v>895</v>
      </c>
      <c r="E82" s="72"/>
      <c r="F82" s="72"/>
      <c r="G82" s="21" t="n">
        <f aca="false">SUM(G$5:G$80)</f>
        <v>351</v>
      </c>
    </row>
    <row r="83" customFormat="false" ht="15" hidden="false" customHeight="true" outlineLevel="0" collapsed="false">
      <c r="D83" s="73" t="s">
        <v>896</v>
      </c>
      <c r="E83" s="73"/>
      <c r="F83" s="73"/>
      <c r="G83" s="32" t="n">
        <f aca="false">SUMIF(E$5:E$80,"Must",G$5:G$80)</f>
        <v>306</v>
      </c>
    </row>
    <row r="84" customFormat="false" ht="15" hidden="false" customHeight="true" outlineLevel="0" collapsed="false">
      <c r="D84" s="73" t="s">
        <v>897</v>
      </c>
      <c r="E84" s="73"/>
      <c r="F84" s="73"/>
      <c r="G84" s="32" t="n">
        <f aca="false">SUMIF(E$5:E$80,"Should",G$5:G$80)+SUMIF(E$5:E$80,"Could",G$5:G$80)</f>
        <v>45</v>
      </c>
    </row>
    <row r="85" customFormat="false" ht="15" hidden="false" customHeight="true" outlineLevel="0" collapsed="false">
      <c r="D85" s="73" t="s">
        <v>898</v>
      </c>
      <c r="E85" s="73"/>
      <c r="F85" s="73"/>
      <c r="G85" s="32" t="n">
        <f aca="false">SUMIF(I$5:I$80,"Done",G$5:G$80)</f>
        <v>52</v>
      </c>
    </row>
    <row r="86" customFormat="false" ht="15" hidden="false" customHeight="true" outlineLevel="0" collapsed="false">
      <c r="D86" s="73" t="s">
        <v>899</v>
      </c>
      <c r="E86" s="73"/>
      <c r="F86" s="73"/>
      <c r="G86" s="74" t="n">
        <f aca="false">IF(G83=0,0,SUMIFS(G$5:G$80,E$5:E$80,"Must",I$5:I$80,"Done")/G83)</f>
        <v>0.169934640522876</v>
      </c>
    </row>
    <row r="89" customFormat="false" ht="15" hidden="false" customHeight="true" outlineLevel="0" collapsed="false">
      <c r="A89" s="6" t="s">
        <v>900</v>
      </c>
      <c r="B89" s="6"/>
      <c r="C89" s="6"/>
      <c r="D89" s="6"/>
      <c r="E89" s="6"/>
      <c r="F89" s="6"/>
      <c r="G89" s="6"/>
      <c r="H89" s="6"/>
      <c r="I89" s="6"/>
      <c r="J89" s="6"/>
    </row>
    <row r="90" customFormat="false" ht="15" hidden="false" customHeight="true" outlineLevel="0" collapsed="false">
      <c r="A90" s="9" t="s">
        <v>698</v>
      </c>
      <c r="B90" s="9"/>
      <c r="C90" s="9" t="s">
        <v>901</v>
      </c>
      <c r="D90" s="9" t="s">
        <v>902</v>
      </c>
      <c r="E90" s="9" t="s">
        <v>903</v>
      </c>
      <c r="F90" s="9" t="s">
        <v>904</v>
      </c>
    </row>
    <row r="91" customFormat="false" ht="15" hidden="false" customHeight="true" outlineLevel="0" collapsed="false">
      <c r="A91" s="75" t="s">
        <v>371</v>
      </c>
      <c r="B91" s="75"/>
      <c r="C91" s="32" t="n">
        <f aca="false">SUMIF(F$5:F$80,A91,G$5:G$80)</f>
        <v>166</v>
      </c>
      <c r="D91" s="60" t="n">
        <f aca="false">TeamBudget!I5*5</f>
        <v>200</v>
      </c>
      <c r="E91" s="76" t="n">
        <f aca="false">IF(D91=0,0,C91/D91)</f>
        <v>0.83</v>
      </c>
      <c r="F91" s="32" t="str">
        <f aca="false">IF(E91&gt;0.8,"Over",IF(E91&gt;0.6,"Tight","OK"))</f>
        <v>Over</v>
      </c>
    </row>
    <row r="92" customFormat="false" ht="15" hidden="false" customHeight="true" outlineLevel="0" collapsed="false">
      <c r="A92" s="75" t="s">
        <v>710</v>
      </c>
      <c r="B92" s="75"/>
      <c r="C92" s="32" t="n">
        <f aca="false">SUMIF(F$5:F$80,A92,G$5:G$80)</f>
        <v>137</v>
      </c>
      <c r="D92" s="60" t="n">
        <f aca="false">TeamBudget!I6*5</f>
        <v>220</v>
      </c>
      <c r="E92" s="76" t="n">
        <f aca="false">IF(D92=0,0,C92/D92)</f>
        <v>0.622727272727273</v>
      </c>
      <c r="F92" s="32" t="str">
        <f aca="false">IF(E92&gt;0.8,"Over",IF(E92&gt;0.6,"Tight","OK"))</f>
        <v>Tight</v>
      </c>
    </row>
    <row r="93" customFormat="false" ht="15" hidden="false" customHeight="true" outlineLevel="0" collapsed="false">
      <c r="A93" s="75" t="s">
        <v>717</v>
      </c>
      <c r="B93" s="75"/>
      <c r="C93" s="32" t="n">
        <f aca="false">SUMIF(F$5:F$80,A93,G$5:G$80)</f>
        <v>18</v>
      </c>
      <c r="D93" s="60" t="n">
        <f aca="false">TeamBudget!I7*5</f>
        <v>155</v>
      </c>
      <c r="E93" s="76" t="n">
        <f aca="false">IF(D93=0,0,C93/D93)</f>
        <v>0.116129032258065</v>
      </c>
      <c r="F93" s="32" t="str">
        <f aca="false">IF(E93&gt;0.8,"Over",IF(E93&gt;0.6,"Tight","OK"))</f>
        <v>OK</v>
      </c>
    </row>
    <row r="94" customFormat="false" ht="15" hidden="false" customHeight="true" outlineLevel="0" collapsed="false">
      <c r="A94" s="75" t="s">
        <v>810</v>
      </c>
      <c r="B94" s="75"/>
      <c r="C94" s="32" t="n">
        <f aca="false">SUMIF(F$5:F$80,A94,G$5:G$80)</f>
        <v>10</v>
      </c>
      <c r="D94" s="60" t="n">
        <f aca="false">TeamBudget!I8*5</f>
        <v>60</v>
      </c>
      <c r="E94" s="76" t="n">
        <f aca="false">IF(D94=0,0,C94/D94)</f>
        <v>0.166666666666667</v>
      </c>
      <c r="F94" s="32" t="str">
        <f aca="false">IF(E94&gt;0.8,"Over",IF(E94&gt;0.6,"Tight","OK"))</f>
        <v>OK</v>
      </c>
    </row>
    <row r="95" customFormat="false" ht="15" hidden="false" customHeight="true" outlineLevel="0" collapsed="false">
      <c r="A95" s="75" t="s">
        <v>865</v>
      </c>
      <c r="B95" s="75"/>
      <c r="C95" s="32" t="n">
        <f aca="false">SUMIF(F$5:F$80,A95,G$5:G$80)</f>
        <v>4</v>
      </c>
      <c r="D95" s="60" t="n">
        <f aca="false">TeamBudget!I9*5</f>
        <v>90</v>
      </c>
      <c r="E95" s="76" t="n">
        <f aca="false">IF(D95=0,0,C95/D95)</f>
        <v>0.0444444444444444</v>
      </c>
      <c r="F95" s="32" t="str">
        <f aca="false">IF(E95&gt;0.8,"Over",IF(E95&gt;0.6,"Tight","OK"))</f>
        <v>OK</v>
      </c>
    </row>
    <row r="96" customFormat="false" ht="15" hidden="false" customHeight="true" outlineLevel="0" collapsed="false">
      <c r="A96" s="75" t="s">
        <v>100</v>
      </c>
      <c r="B96" s="75"/>
      <c r="C96" s="32" t="n">
        <f aca="false">SUMIF(F$5:F$80,A96,G$5:G$80)</f>
        <v>16</v>
      </c>
      <c r="D96" s="60" t="n">
        <f aca="false">TeamBudget!I10*5</f>
        <v>160</v>
      </c>
      <c r="E96" s="76" t="n">
        <f aca="false">IF(D96=0,0,C96/D96)</f>
        <v>0.1</v>
      </c>
      <c r="F96" s="32" t="str">
        <f aca="false">IF(E96&gt;0.8,"Over",IF(E96&gt;0.6,"Tight","OK"))</f>
        <v>OK</v>
      </c>
    </row>
    <row r="97" customFormat="false" ht="15" hidden="false" customHeight="true" outlineLevel="0" collapsed="false">
      <c r="A97" s="72" t="s">
        <v>905</v>
      </c>
      <c r="B97" s="72"/>
      <c r="C97" s="21" t="n">
        <f aca="false">SUM(C91:C96)</f>
        <v>351</v>
      </c>
      <c r="D97" s="21" t="n">
        <f aca="false">SUM(D91:D96)</f>
        <v>885</v>
      </c>
      <c r="E97" s="77" t="n">
        <f aca="false">IF(D97=0,0,C97/D97)</f>
        <v>0.396610169491525</v>
      </c>
      <c r="F97" s="21" t="str">
        <f aca="false">IF(E97&gt;0.8,"Over",IF(E97&gt;0.6,"Tight","OK"))</f>
        <v>OK</v>
      </c>
    </row>
    <row r="99" customFormat="false" ht="15" hidden="false" customHeight="true" outlineLevel="0" collapsed="false">
      <c r="A99" s="29" t="s">
        <v>5</v>
      </c>
      <c r="B99" s="29"/>
      <c r="C99" s="9" t="s">
        <v>901</v>
      </c>
      <c r="D99" s="9" t="s">
        <v>906</v>
      </c>
      <c r="E99" s="9" t="s">
        <v>903</v>
      </c>
      <c r="F99" s="9" t="s">
        <v>904</v>
      </c>
    </row>
    <row r="100" customFormat="false" ht="15" hidden="false" customHeight="true" outlineLevel="0" collapsed="false">
      <c r="A100" s="78" t="str">
        <f aca="false">Assumptions!A16</f>
        <v>Preproduction</v>
      </c>
      <c r="B100" s="78"/>
      <c r="C100" s="32" t="n">
        <f aca="false">SUMIF(D$5:D$80,A100,G$5:G$80)</f>
        <v>21</v>
      </c>
      <c r="D100" s="60" t="n">
        <f aca="false">TeamBudget!I15*5</f>
        <v>80</v>
      </c>
      <c r="E100" s="76" t="n">
        <f aca="false">IF(D100=0,0,C100/D100)</f>
        <v>0.2625</v>
      </c>
      <c r="F100" s="32" t="str">
        <f aca="false">IF(E100&gt;0.8,"Over",IF(E100&gt;0.6,"Tight","OK"))</f>
        <v>OK</v>
      </c>
    </row>
    <row r="101" customFormat="false" ht="15" hidden="false" customHeight="true" outlineLevel="0" collapsed="false">
      <c r="A101" s="78" t="str">
        <f aca="false">Assumptions!A17</f>
        <v>Vertical slice</v>
      </c>
      <c r="B101" s="78"/>
      <c r="C101" s="32" t="n">
        <f aca="false">SUMIF(D$5:D$80,A101,G$5:G$80)</f>
        <v>91</v>
      </c>
      <c r="D101" s="60" t="n">
        <f aca="false">TeamBudget!I16*5</f>
        <v>170</v>
      </c>
      <c r="E101" s="76" t="n">
        <f aca="false">IF(D101=0,0,C101/D101)</f>
        <v>0.535294117647059</v>
      </c>
      <c r="F101" s="32" t="str">
        <f aca="false">IF(E101&gt;0.8,"Over",IF(E101&gt;0.6,"Tight","OK"))</f>
        <v>OK</v>
      </c>
    </row>
    <row r="102" customFormat="false" ht="15" hidden="false" customHeight="true" outlineLevel="0" collapsed="false">
      <c r="A102" s="78" t="str">
        <f aca="false">Assumptions!A18</f>
        <v>Production</v>
      </c>
      <c r="B102" s="78"/>
      <c r="C102" s="32" t="n">
        <f aca="false">SUMIF(D$5:D$80,A102,G$5:G$80)</f>
        <v>151</v>
      </c>
      <c r="D102" s="60" t="n">
        <f aca="false">TeamBudget!I17*5</f>
        <v>320</v>
      </c>
      <c r="E102" s="76" t="n">
        <f aca="false">IF(D102=0,0,C102/D102)</f>
        <v>0.471875</v>
      </c>
      <c r="F102" s="32" t="str">
        <f aca="false">IF(E102&gt;0.8,"Over",IF(E102&gt;0.6,"Tight","OK"))</f>
        <v>OK</v>
      </c>
    </row>
    <row r="103" customFormat="false" ht="15" hidden="false" customHeight="true" outlineLevel="0" collapsed="false">
      <c r="A103" s="78" t="str">
        <f aca="false">Assumptions!A19</f>
        <v>Alpha</v>
      </c>
      <c r="B103" s="78"/>
      <c r="C103" s="32" t="n">
        <f aca="false">SUMIF(D$5:D$80,A103,G$5:G$80)</f>
        <v>54</v>
      </c>
      <c r="D103" s="60" t="n">
        <f aca="false">TeamBudget!I18*5</f>
        <v>130</v>
      </c>
      <c r="E103" s="76" t="n">
        <f aca="false">IF(D103=0,0,C103/D103)</f>
        <v>0.415384615384615</v>
      </c>
      <c r="F103" s="32" t="str">
        <f aca="false">IF(E103&gt;0.8,"Over",IF(E103&gt;0.6,"Tight","OK"))</f>
        <v>OK</v>
      </c>
    </row>
    <row r="104" customFormat="false" ht="15" hidden="false" customHeight="true" outlineLevel="0" collapsed="false">
      <c r="A104" s="78" t="str">
        <f aca="false">Assumptions!A20</f>
        <v>Beta</v>
      </c>
      <c r="B104" s="78"/>
      <c r="C104" s="32" t="n">
        <f aca="false">SUMIF(D$5:D$80,A104,G$5:G$80)</f>
        <v>25</v>
      </c>
      <c r="D104" s="60" t="n">
        <f aca="false">TeamBudget!I19*5</f>
        <v>115</v>
      </c>
      <c r="E104" s="76" t="n">
        <f aca="false">IF(D104=0,0,C104/D104)</f>
        <v>0.217391304347826</v>
      </c>
      <c r="F104" s="32" t="str">
        <f aca="false">IF(E104&gt;0.8,"Over",IF(E104&gt;0.6,"Tight","OK"))</f>
        <v>OK</v>
      </c>
    </row>
    <row r="105" customFormat="false" ht="15" hidden="false" customHeight="true" outlineLevel="0" collapsed="false">
      <c r="A105" s="78" t="str">
        <f aca="false">Assumptions!A21</f>
        <v>Polish and ship</v>
      </c>
      <c r="B105" s="78"/>
      <c r="C105" s="32" t="n">
        <f aca="false">SUMIF(D$5:D$80,A105,G$5:G$80)</f>
        <v>9</v>
      </c>
      <c r="D105" s="60" t="n">
        <f aca="false">TeamBudget!I20*5</f>
        <v>70</v>
      </c>
      <c r="E105" s="76" t="n">
        <f aca="false">IF(D105=0,0,C105/D105)</f>
        <v>0.128571428571429</v>
      </c>
      <c r="F105" s="32" t="str">
        <f aca="false">IF(E105&gt;0.8,"Over",IF(E105&gt;0.6,"Tight","OK"))</f>
        <v>OK</v>
      </c>
    </row>
    <row r="107" customFormat="false" ht="30" hidden="false" customHeight="true" outlineLevel="0" collapsed="false">
      <c r="A107" s="54" t="s">
        <v>907</v>
      </c>
      <c r="B107" s="54"/>
      <c r="C107" s="54"/>
      <c r="D107" s="54"/>
      <c r="E107" s="54"/>
      <c r="F107" s="54"/>
      <c r="G107" s="54"/>
      <c r="H107" s="54"/>
      <c r="I107" s="54"/>
      <c r="J107" s="54"/>
    </row>
  </sheetData>
  <autoFilter ref="A4:J80"/>
  <mergeCells count="24">
    <mergeCell ref="A1:J1"/>
    <mergeCell ref="A2:J2"/>
    <mergeCell ref="D82:F82"/>
    <mergeCell ref="D83:F83"/>
    <mergeCell ref="D84:F84"/>
    <mergeCell ref="D85:F85"/>
    <mergeCell ref="D86:F86"/>
    <mergeCell ref="A89:J89"/>
    <mergeCell ref="A90:B90"/>
    <mergeCell ref="A91:B91"/>
    <mergeCell ref="A92:B92"/>
    <mergeCell ref="A93:B93"/>
    <mergeCell ref="A94:B94"/>
    <mergeCell ref="A95:B95"/>
    <mergeCell ref="A96:B96"/>
    <mergeCell ref="A97:B97"/>
    <mergeCell ref="A99:B99"/>
    <mergeCell ref="A100:B100"/>
    <mergeCell ref="A101:B101"/>
    <mergeCell ref="A102:B102"/>
    <mergeCell ref="A103:B103"/>
    <mergeCell ref="A104:B104"/>
    <mergeCell ref="A105:B105"/>
    <mergeCell ref="A107:J107"/>
  </mergeCells>
  <conditionalFormatting sqref="I5:I80">
    <cfRule type="expression" priority="2" aboveAverage="0" equalAverage="0" bottom="0" percent="0" rank="0" text="" dxfId="0">
      <formula>I5="Done"</formula>
    </cfRule>
    <cfRule type="expression" priority="3" aboveAverage="0" equalAverage="0" bottom="0" percent="0" rank="0" text="" dxfId="1">
      <formula>I5="In progress"</formula>
    </cfRule>
    <cfRule type="expression" priority="4" aboveAverage="0" equalAverage="0" bottom="0" percent="0" rank="0" text="" dxfId="15">
      <formula>I5="Cut"</formula>
    </cfRule>
  </conditionalFormatting>
  <conditionalFormatting sqref="F91:F97">
    <cfRule type="cellIs" priority="5" operator="equal" aboveAverage="0" equalAverage="0" bottom="0" percent="0" rank="0" text="" dxfId="0">
      <formula>"OK"</formula>
    </cfRule>
    <cfRule type="cellIs" priority="6" operator="equal" aboveAverage="0" equalAverage="0" bottom="0" percent="0" rank="0" text="" dxfId="1">
      <formula>"Tight"</formula>
    </cfRule>
    <cfRule type="cellIs" priority="7" operator="equal" aboveAverage="0" equalAverage="0" bottom="0" percent="0" rank="0" text="" dxfId="2">
      <formula>"Over"</formula>
    </cfRule>
  </conditionalFormatting>
  <conditionalFormatting sqref="F100:F105">
    <cfRule type="cellIs" priority="8" operator="equal" aboveAverage="0" equalAverage="0" bottom="0" percent="0" rank="0" text="" dxfId="0">
      <formula>"OK"</formula>
    </cfRule>
    <cfRule type="cellIs" priority="9" operator="equal" aboveAverage="0" equalAverage="0" bottom="0" percent="0" rank="0" text="" dxfId="1">
      <formula>"Tight"</formula>
    </cfRule>
    <cfRule type="cellIs" priority="10" operator="equal" aboveAverage="0" equalAverage="0" bottom="0" percent="0" rank="0" text="" dxfId="2">
      <formula>"Over"</formula>
    </cfRule>
  </conditionalFormatting>
  <dataValidations count="4">
    <dataValidation allowBlank="true" errorStyle="stop" operator="between" showDropDown="false" showErrorMessage="false" showInputMessage="false" sqref="E5:E80" type="list">
      <formula1>"Must,Should,Could"</formula1>
      <formula2>0</formula2>
    </dataValidation>
    <dataValidation allowBlank="true" errorStyle="stop" operator="between" showDropDown="false" showErrorMessage="false" showInputMessage="false" sqref="D5:D80" type="list">
      <formula1>"Preproduction,Vertical slice,Production,Alpha,Beta,Polish and ship"</formula1>
      <formula2>0</formula2>
    </dataValidation>
    <dataValidation allowBlank="true" errorStyle="stop" operator="between" showDropDown="false" showErrorMessage="false" showInputMessage="false" sqref="F5:F80" type="list">
      <formula1>"Design,Engineering,Art,Audio,QA,Production"</formula1>
      <formula2>0</formula2>
    </dataValidation>
    <dataValidation allowBlank="true" errorStyle="stop" operator="between" showDropDown="false" showErrorMessage="false" showInputMessage="false" sqref="I5:I80" type="list">
      <formula1>"Not started,In progress,Done,Cut"</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4C"/>
    <pageSetUpPr fitToPage="true"/>
  </sheetPr>
  <dimension ref="A1:H1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4" min="3" style="1" width="18"/>
    <col collapsed="false" customWidth="true" hidden="false" outlineLevel="0" max="5" min="5" style="1" width="62"/>
    <col collapsed="false" customWidth="true" hidden="false" outlineLevel="0" max="6" min="6" style="1" width="24"/>
    <col collapsed="false" customWidth="true" hidden="false" outlineLevel="0" max="7" min="7" style="1" width="55"/>
    <col collapsed="false" customWidth="true" hidden="false" outlineLevel="0" max="8" min="8" style="1" width="10"/>
  </cols>
  <sheetData>
    <row r="1" customFormat="false" ht="31.5" hidden="false" customHeight="true" outlineLevel="0" collapsed="false">
      <c r="A1" s="2" t="s">
        <v>0</v>
      </c>
      <c r="B1" s="2"/>
      <c r="C1" s="2"/>
      <c r="D1" s="2"/>
      <c r="E1" s="2"/>
      <c r="F1" s="2"/>
      <c r="G1" s="2"/>
      <c r="H1" s="2"/>
    </row>
    <row r="2" customFormat="false" ht="19.5" hidden="false" customHeight="true" outlineLevel="0" collapsed="false">
      <c r="A2" s="3" t="s">
        <v>908</v>
      </c>
      <c r="B2" s="3"/>
      <c r="C2" s="3"/>
      <c r="D2" s="3"/>
      <c r="E2" s="3"/>
      <c r="F2" s="3"/>
      <c r="G2" s="3"/>
      <c r="H2" s="3"/>
    </row>
    <row r="4" customFormat="false" ht="15" hidden="false" customHeight="true" outlineLevel="0" collapsed="false">
      <c r="A4" s="57" t="s">
        <v>5</v>
      </c>
      <c r="B4" s="57" t="s">
        <v>6</v>
      </c>
      <c r="C4" s="57" t="s">
        <v>909</v>
      </c>
      <c r="D4" s="57" t="s">
        <v>910</v>
      </c>
      <c r="E4" s="57" t="s">
        <v>911</v>
      </c>
      <c r="F4" s="57" t="s">
        <v>912</v>
      </c>
      <c r="G4" s="57" t="s">
        <v>913</v>
      </c>
      <c r="H4" s="9" t="s">
        <v>914</v>
      </c>
    </row>
    <row r="5" customFormat="false" ht="36" hidden="false" customHeight="true" outlineLevel="0" collapsed="false">
      <c r="A5" s="79" t="str">
        <f aca="false">Assumptions!A16</f>
        <v>Preproduction</v>
      </c>
      <c r="B5" s="60" t="n">
        <f aca="false">Assumptions!B16</f>
        <v>8</v>
      </c>
      <c r="C5" s="80" t="n">
        <f aca="false">Assumptions!B8</f>
        <v>46328</v>
      </c>
      <c r="D5" s="80" t="n">
        <f aca="false">C5+B5*7-1</f>
        <v>46383</v>
      </c>
      <c r="E5" s="27" t="s">
        <v>915</v>
      </c>
      <c r="F5" s="27" t="s">
        <v>916</v>
      </c>
      <c r="G5" s="27" t="s">
        <v>917</v>
      </c>
      <c r="H5" s="27" t="s">
        <v>918</v>
      </c>
    </row>
    <row r="6" customFormat="false" ht="36" hidden="false" customHeight="true" outlineLevel="0" collapsed="false">
      <c r="A6" s="79" t="str">
        <f aca="false">Assumptions!A17</f>
        <v>Vertical slice</v>
      </c>
      <c r="B6" s="60" t="n">
        <f aca="false">Assumptions!B17</f>
        <v>10</v>
      </c>
      <c r="C6" s="80" t="n">
        <f aca="false">D5+1</f>
        <v>46384</v>
      </c>
      <c r="D6" s="80" t="n">
        <f aca="false">C6+B6*7-1</f>
        <v>46453</v>
      </c>
      <c r="E6" s="28" t="s">
        <v>919</v>
      </c>
      <c r="F6" s="28" t="s">
        <v>920</v>
      </c>
      <c r="G6" s="28" t="s">
        <v>921</v>
      </c>
      <c r="H6" s="58" t="s">
        <v>922</v>
      </c>
    </row>
    <row r="7" customFormat="false" ht="36" hidden="false" customHeight="true" outlineLevel="0" collapsed="false">
      <c r="A7" s="79" t="str">
        <f aca="false">Assumptions!A18</f>
        <v>Production</v>
      </c>
      <c r="B7" s="60" t="n">
        <f aca="false">Assumptions!B18</f>
        <v>18</v>
      </c>
      <c r="C7" s="80" t="n">
        <f aca="false">D6+1</f>
        <v>46454</v>
      </c>
      <c r="D7" s="80" t="n">
        <f aca="false">C7+B7*7-1</f>
        <v>46579</v>
      </c>
      <c r="E7" s="27" t="s">
        <v>923</v>
      </c>
      <c r="F7" s="27" t="s">
        <v>924</v>
      </c>
      <c r="G7" s="27" t="s">
        <v>925</v>
      </c>
      <c r="H7" s="27" t="s">
        <v>926</v>
      </c>
    </row>
    <row r="8" customFormat="false" ht="36" hidden="false" customHeight="true" outlineLevel="0" collapsed="false">
      <c r="A8" s="79" t="str">
        <f aca="false">Assumptions!A19</f>
        <v>Alpha</v>
      </c>
      <c r="B8" s="60" t="n">
        <f aca="false">Assumptions!B19</f>
        <v>6</v>
      </c>
      <c r="C8" s="80" t="n">
        <f aca="false">D7+1</f>
        <v>46580</v>
      </c>
      <c r="D8" s="80" t="n">
        <f aca="false">C8+B8*7-1</f>
        <v>46621</v>
      </c>
      <c r="E8" s="28" t="s">
        <v>927</v>
      </c>
      <c r="F8" s="28" t="s">
        <v>928</v>
      </c>
      <c r="G8" s="28" t="s">
        <v>929</v>
      </c>
      <c r="H8" s="58" t="s">
        <v>930</v>
      </c>
    </row>
    <row r="9" customFormat="false" ht="36" hidden="false" customHeight="true" outlineLevel="0" collapsed="false">
      <c r="A9" s="79" t="str">
        <f aca="false">Assumptions!A20</f>
        <v>Beta</v>
      </c>
      <c r="B9" s="60" t="n">
        <f aca="false">Assumptions!B20</f>
        <v>6</v>
      </c>
      <c r="C9" s="80" t="n">
        <f aca="false">D8+1</f>
        <v>46622</v>
      </c>
      <c r="D9" s="80" t="n">
        <f aca="false">C9+B9*7-1</f>
        <v>46663</v>
      </c>
      <c r="E9" s="27" t="s">
        <v>931</v>
      </c>
      <c r="F9" s="27" t="s">
        <v>932</v>
      </c>
      <c r="G9" s="27" t="s">
        <v>933</v>
      </c>
      <c r="H9" s="27" t="s">
        <v>934</v>
      </c>
    </row>
    <row r="10" customFormat="false" ht="36" hidden="false" customHeight="true" outlineLevel="0" collapsed="false">
      <c r="A10" s="79" t="str">
        <f aca="false">Assumptions!A21</f>
        <v>Polish and ship</v>
      </c>
      <c r="B10" s="60" t="n">
        <f aca="false">Assumptions!B21</f>
        <v>4</v>
      </c>
      <c r="C10" s="80" t="n">
        <f aca="false">D9+1</f>
        <v>46664</v>
      </c>
      <c r="D10" s="80" t="n">
        <f aca="false">C10+B10*7-1</f>
        <v>46691</v>
      </c>
      <c r="E10" s="28" t="s">
        <v>935</v>
      </c>
      <c r="F10" s="28" t="s">
        <v>410</v>
      </c>
      <c r="G10" s="28" t="s">
        <v>936</v>
      </c>
      <c r="H10" s="58" t="s">
        <v>937</v>
      </c>
    </row>
    <row r="12" customFormat="false" ht="15" hidden="false" customHeight="true" outlineLevel="0" collapsed="false">
      <c r="A12" s="20" t="s">
        <v>938</v>
      </c>
      <c r="B12" s="81" t="n">
        <f aca="false">D10</f>
        <v>46691</v>
      </c>
      <c r="C12" s="81"/>
    </row>
    <row r="13" customFormat="false" ht="15" hidden="false" customHeight="true" outlineLevel="0" collapsed="false">
      <c r="A13" s="4" t="s">
        <v>939</v>
      </c>
      <c r="B13" s="82" t="n">
        <f aca="false">B12-Assumptions!B7</f>
        <v>387</v>
      </c>
      <c r="C13" s="82"/>
    </row>
    <row r="14" customFormat="false" ht="15" hidden="false" customHeight="true" outlineLevel="0" collapsed="false">
      <c r="A14" s="24" t="s">
        <v>940</v>
      </c>
      <c r="B14" s="24"/>
      <c r="C14" s="24"/>
      <c r="D14" s="24"/>
      <c r="E14" s="24"/>
      <c r="F14" s="24"/>
      <c r="G14" s="24"/>
      <c r="H14" s="24"/>
    </row>
    <row r="15" customFormat="false" ht="24" hidden="false" customHeight="true" outlineLevel="0" collapsed="false">
      <c r="A15" s="54" t="s">
        <v>941</v>
      </c>
      <c r="B15" s="54"/>
      <c r="C15" s="54"/>
      <c r="D15" s="54"/>
      <c r="E15" s="54"/>
      <c r="F15" s="54"/>
      <c r="G15" s="54"/>
      <c r="H15" s="54"/>
    </row>
    <row r="16" customFormat="false" ht="30" hidden="false" customHeight="true" outlineLevel="0" collapsed="false">
      <c r="A16" s="54" t="s">
        <v>942</v>
      </c>
      <c r="B16" s="54"/>
      <c r="C16" s="54"/>
      <c r="D16" s="54"/>
      <c r="E16" s="54"/>
      <c r="F16" s="54"/>
      <c r="G16" s="54"/>
      <c r="H16" s="54"/>
    </row>
  </sheetData>
  <mergeCells count="7">
    <mergeCell ref="A1:H1"/>
    <mergeCell ref="A2:H2"/>
    <mergeCell ref="B12:C12"/>
    <mergeCell ref="B13:C13"/>
    <mergeCell ref="A14:H14"/>
    <mergeCell ref="A15:H15"/>
    <mergeCell ref="A16:H16"/>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12"/>
    <pageSetUpPr fitToPage="true"/>
  </sheetPr>
  <dimension ref="A1:B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2"/>
    <col collapsed="false" customWidth="true" hidden="false" outlineLevel="0" max="63" min="4" style="1" width="3.61"/>
  </cols>
  <sheetData>
    <row r="1" customFormat="false" ht="31.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customFormat="false" ht="19.5" hidden="false" customHeight="true" outlineLevel="0" collapsed="false">
      <c r="A2" s="3" t="s">
        <v>943</v>
      </c>
      <c r="B2" s="3"/>
      <c r="C2" s="3"/>
      <c r="D2" s="3"/>
      <c r="E2" s="3"/>
      <c r="F2" s="3"/>
      <c r="G2" s="3"/>
      <c r="H2" s="3"/>
      <c r="I2" s="3"/>
      <c r="J2" s="3"/>
      <c r="K2" s="3"/>
      <c r="L2" s="3"/>
      <c r="M2" s="3"/>
      <c r="N2" s="3"/>
      <c r="O2" s="3"/>
      <c r="P2" s="3"/>
      <c r="Q2" s="3"/>
      <c r="R2" s="3"/>
      <c r="S2" s="3"/>
      <c r="T2" s="3"/>
      <c r="U2" s="3"/>
      <c r="V2" s="3"/>
      <c r="W2" s="3"/>
      <c r="X2" s="3"/>
      <c r="Y2" s="3"/>
      <c r="Z2" s="3"/>
      <c r="AA2" s="3"/>
      <c r="AB2" s="3"/>
      <c r="AC2" s="3"/>
      <c r="AD2" s="3"/>
    </row>
    <row r="4" customFormat="false" ht="15" hidden="false" customHeight="true" outlineLevel="0" collapsed="false">
      <c r="A4" s="9" t="s">
        <v>944</v>
      </c>
      <c r="B4" s="9" t="s">
        <v>909</v>
      </c>
      <c r="C4" s="9" t="s">
        <v>910</v>
      </c>
      <c r="D4" s="83" t="n">
        <v>1</v>
      </c>
      <c r="E4" s="83" t="n">
        <v>2</v>
      </c>
      <c r="F4" s="83" t="n">
        <v>3</v>
      </c>
      <c r="G4" s="83" t="n">
        <v>4</v>
      </c>
      <c r="H4" s="83" t="n">
        <v>5</v>
      </c>
      <c r="I4" s="83" t="n">
        <v>6</v>
      </c>
      <c r="J4" s="83" t="n">
        <v>7</v>
      </c>
      <c r="K4" s="83" t="n">
        <v>8</v>
      </c>
      <c r="L4" s="83" t="n">
        <v>9</v>
      </c>
      <c r="M4" s="83" t="n">
        <v>10</v>
      </c>
      <c r="N4" s="83" t="n">
        <v>11</v>
      </c>
      <c r="O4" s="83" t="n">
        <v>12</v>
      </c>
      <c r="P4" s="83" t="n">
        <v>13</v>
      </c>
      <c r="Q4" s="83" t="n">
        <v>14</v>
      </c>
      <c r="R4" s="83" t="n">
        <v>15</v>
      </c>
      <c r="S4" s="83" t="n">
        <v>16</v>
      </c>
      <c r="T4" s="83" t="n">
        <v>17</v>
      </c>
      <c r="U4" s="83" t="n">
        <v>18</v>
      </c>
      <c r="V4" s="83" t="n">
        <v>19</v>
      </c>
      <c r="W4" s="83" t="n">
        <v>20</v>
      </c>
      <c r="X4" s="83" t="n">
        <v>21</v>
      </c>
      <c r="Y4" s="83" t="n">
        <v>22</v>
      </c>
      <c r="Z4" s="83" t="n">
        <v>23</v>
      </c>
      <c r="AA4" s="83" t="n">
        <v>24</v>
      </c>
      <c r="AB4" s="83" t="n">
        <v>25</v>
      </c>
      <c r="AC4" s="83" t="n">
        <v>26</v>
      </c>
      <c r="AD4" s="83" t="n">
        <v>27</v>
      </c>
      <c r="AE4" s="83" t="n">
        <v>28</v>
      </c>
      <c r="AF4" s="83" t="n">
        <v>29</v>
      </c>
      <c r="AG4" s="83" t="n">
        <v>30</v>
      </c>
      <c r="AH4" s="83" t="n">
        <v>31</v>
      </c>
      <c r="AI4" s="83" t="n">
        <v>32</v>
      </c>
      <c r="AJ4" s="83" t="n">
        <v>33</v>
      </c>
      <c r="AK4" s="83" t="n">
        <v>34</v>
      </c>
      <c r="AL4" s="83" t="n">
        <v>35</v>
      </c>
      <c r="AM4" s="83" t="n">
        <v>36</v>
      </c>
      <c r="AN4" s="83" t="n">
        <v>37</v>
      </c>
      <c r="AO4" s="83" t="n">
        <v>38</v>
      </c>
      <c r="AP4" s="83" t="n">
        <v>39</v>
      </c>
      <c r="AQ4" s="83" t="n">
        <v>40</v>
      </c>
      <c r="AR4" s="83" t="n">
        <v>41</v>
      </c>
      <c r="AS4" s="83" t="n">
        <v>42</v>
      </c>
      <c r="AT4" s="83" t="n">
        <v>43</v>
      </c>
      <c r="AU4" s="83" t="n">
        <v>44</v>
      </c>
      <c r="AV4" s="83" t="n">
        <v>45</v>
      </c>
      <c r="AW4" s="83" t="n">
        <v>46</v>
      </c>
      <c r="AX4" s="83" t="n">
        <v>47</v>
      </c>
      <c r="AY4" s="83" t="n">
        <v>48</v>
      </c>
      <c r="AZ4" s="83" t="n">
        <v>49</v>
      </c>
      <c r="BA4" s="83" t="n">
        <v>50</v>
      </c>
      <c r="BB4" s="83" t="n">
        <v>51</v>
      </c>
      <c r="BC4" s="83" t="n">
        <v>52</v>
      </c>
      <c r="BD4" s="83" t="n">
        <v>53</v>
      </c>
      <c r="BE4" s="83" t="n">
        <v>54</v>
      </c>
      <c r="BF4" s="83" t="n">
        <v>55</v>
      </c>
      <c r="BG4" s="83" t="n">
        <v>56</v>
      </c>
      <c r="BH4" s="83" t="n">
        <v>57</v>
      </c>
      <c r="BI4" s="83" t="n">
        <v>58</v>
      </c>
      <c r="BJ4" s="83" t="n">
        <v>59</v>
      </c>
      <c r="BK4" s="83" t="n">
        <v>60</v>
      </c>
    </row>
    <row r="5" customFormat="false" ht="42" hidden="false" customHeight="true" outlineLevel="0" collapsed="false">
      <c r="A5" s="4" t="s">
        <v>945</v>
      </c>
      <c r="B5" s="4"/>
      <c r="C5" s="4"/>
      <c r="D5" s="84" t="n">
        <f aca="false">Assumptions!$B$8+(D$4-1)*7</f>
        <v>46328</v>
      </c>
      <c r="E5" s="84" t="n">
        <f aca="false">Assumptions!$B$8+(E$4-1)*7</f>
        <v>46335</v>
      </c>
      <c r="F5" s="84" t="n">
        <f aca="false">Assumptions!$B$8+(F$4-1)*7</f>
        <v>46342</v>
      </c>
      <c r="G5" s="84" t="n">
        <f aca="false">Assumptions!$B$8+(G$4-1)*7</f>
        <v>46349</v>
      </c>
      <c r="H5" s="84" t="n">
        <f aca="false">Assumptions!$B$8+(H$4-1)*7</f>
        <v>46356</v>
      </c>
      <c r="I5" s="84" t="n">
        <f aca="false">Assumptions!$B$8+(I$4-1)*7</f>
        <v>46363</v>
      </c>
      <c r="J5" s="84" t="n">
        <f aca="false">Assumptions!$B$8+(J$4-1)*7</f>
        <v>46370</v>
      </c>
      <c r="K5" s="84" t="n">
        <f aca="false">Assumptions!$B$8+(K$4-1)*7</f>
        <v>46377</v>
      </c>
      <c r="L5" s="84" t="n">
        <f aca="false">Assumptions!$B$8+(L$4-1)*7</f>
        <v>46384</v>
      </c>
      <c r="M5" s="84" t="n">
        <f aca="false">Assumptions!$B$8+(M$4-1)*7</f>
        <v>46391</v>
      </c>
      <c r="N5" s="84" t="n">
        <f aca="false">Assumptions!$B$8+(N$4-1)*7</f>
        <v>46398</v>
      </c>
      <c r="O5" s="84" t="n">
        <f aca="false">Assumptions!$B$8+(O$4-1)*7</f>
        <v>46405</v>
      </c>
      <c r="P5" s="84" t="n">
        <f aca="false">Assumptions!$B$8+(P$4-1)*7</f>
        <v>46412</v>
      </c>
      <c r="Q5" s="84" t="n">
        <f aca="false">Assumptions!$B$8+(Q$4-1)*7</f>
        <v>46419</v>
      </c>
      <c r="R5" s="84" t="n">
        <f aca="false">Assumptions!$B$8+(R$4-1)*7</f>
        <v>46426</v>
      </c>
      <c r="S5" s="84" t="n">
        <f aca="false">Assumptions!$B$8+(S$4-1)*7</f>
        <v>46433</v>
      </c>
      <c r="T5" s="84" t="n">
        <f aca="false">Assumptions!$B$8+(T$4-1)*7</f>
        <v>46440</v>
      </c>
      <c r="U5" s="84" t="n">
        <f aca="false">Assumptions!$B$8+(U$4-1)*7</f>
        <v>46447</v>
      </c>
      <c r="V5" s="84" t="n">
        <f aca="false">Assumptions!$B$8+(V$4-1)*7</f>
        <v>46454</v>
      </c>
      <c r="W5" s="84" t="n">
        <f aca="false">Assumptions!$B$8+(W$4-1)*7</f>
        <v>46461</v>
      </c>
      <c r="X5" s="84" t="n">
        <f aca="false">Assumptions!$B$8+(X$4-1)*7</f>
        <v>46468</v>
      </c>
      <c r="Y5" s="84" t="n">
        <f aca="false">Assumptions!$B$8+(Y$4-1)*7</f>
        <v>46475</v>
      </c>
      <c r="Z5" s="84" t="n">
        <f aca="false">Assumptions!$B$8+(Z$4-1)*7</f>
        <v>46482</v>
      </c>
      <c r="AA5" s="84" t="n">
        <f aca="false">Assumptions!$B$8+(AA$4-1)*7</f>
        <v>46489</v>
      </c>
      <c r="AB5" s="84" t="n">
        <f aca="false">Assumptions!$B$8+(AB$4-1)*7</f>
        <v>46496</v>
      </c>
      <c r="AC5" s="84" t="n">
        <f aca="false">Assumptions!$B$8+(AC$4-1)*7</f>
        <v>46503</v>
      </c>
      <c r="AD5" s="84" t="n">
        <f aca="false">Assumptions!$B$8+(AD$4-1)*7</f>
        <v>46510</v>
      </c>
      <c r="AE5" s="84" t="n">
        <f aca="false">Assumptions!$B$8+(AE$4-1)*7</f>
        <v>46517</v>
      </c>
      <c r="AF5" s="84" t="n">
        <f aca="false">Assumptions!$B$8+(AF$4-1)*7</f>
        <v>46524</v>
      </c>
      <c r="AG5" s="84" t="n">
        <f aca="false">Assumptions!$B$8+(AG$4-1)*7</f>
        <v>46531</v>
      </c>
      <c r="AH5" s="84" t="n">
        <f aca="false">Assumptions!$B$8+(AH$4-1)*7</f>
        <v>46538</v>
      </c>
      <c r="AI5" s="84" t="n">
        <f aca="false">Assumptions!$B$8+(AI$4-1)*7</f>
        <v>46545</v>
      </c>
      <c r="AJ5" s="84" t="n">
        <f aca="false">Assumptions!$B$8+(AJ$4-1)*7</f>
        <v>46552</v>
      </c>
      <c r="AK5" s="84" t="n">
        <f aca="false">Assumptions!$B$8+(AK$4-1)*7</f>
        <v>46559</v>
      </c>
      <c r="AL5" s="84" t="n">
        <f aca="false">Assumptions!$B$8+(AL$4-1)*7</f>
        <v>46566</v>
      </c>
      <c r="AM5" s="84" t="n">
        <f aca="false">Assumptions!$B$8+(AM$4-1)*7</f>
        <v>46573</v>
      </c>
      <c r="AN5" s="84" t="n">
        <f aca="false">Assumptions!$B$8+(AN$4-1)*7</f>
        <v>46580</v>
      </c>
      <c r="AO5" s="84" t="n">
        <f aca="false">Assumptions!$B$8+(AO$4-1)*7</f>
        <v>46587</v>
      </c>
      <c r="AP5" s="84" t="n">
        <f aca="false">Assumptions!$B$8+(AP$4-1)*7</f>
        <v>46594</v>
      </c>
      <c r="AQ5" s="84" t="n">
        <f aca="false">Assumptions!$B$8+(AQ$4-1)*7</f>
        <v>46601</v>
      </c>
      <c r="AR5" s="84" t="n">
        <f aca="false">Assumptions!$B$8+(AR$4-1)*7</f>
        <v>46608</v>
      </c>
      <c r="AS5" s="84" t="n">
        <f aca="false">Assumptions!$B$8+(AS$4-1)*7</f>
        <v>46615</v>
      </c>
      <c r="AT5" s="84" t="n">
        <f aca="false">Assumptions!$B$8+(AT$4-1)*7</f>
        <v>46622</v>
      </c>
      <c r="AU5" s="84" t="n">
        <f aca="false">Assumptions!$B$8+(AU$4-1)*7</f>
        <v>46629</v>
      </c>
      <c r="AV5" s="84" t="n">
        <f aca="false">Assumptions!$B$8+(AV$4-1)*7</f>
        <v>46636</v>
      </c>
      <c r="AW5" s="84" t="n">
        <f aca="false">Assumptions!$B$8+(AW$4-1)*7</f>
        <v>46643</v>
      </c>
      <c r="AX5" s="84" t="n">
        <f aca="false">Assumptions!$B$8+(AX$4-1)*7</f>
        <v>46650</v>
      </c>
      <c r="AY5" s="84" t="n">
        <f aca="false">Assumptions!$B$8+(AY$4-1)*7</f>
        <v>46657</v>
      </c>
      <c r="AZ5" s="84" t="n">
        <f aca="false">Assumptions!$B$8+(AZ$4-1)*7</f>
        <v>46664</v>
      </c>
      <c r="BA5" s="84" t="n">
        <f aca="false">Assumptions!$B$8+(BA$4-1)*7</f>
        <v>46671</v>
      </c>
      <c r="BB5" s="84" t="n">
        <f aca="false">Assumptions!$B$8+(BB$4-1)*7</f>
        <v>46678</v>
      </c>
      <c r="BC5" s="84" t="n">
        <f aca="false">Assumptions!$B$8+(BC$4-1)*7</f>
        <v>46685</v>
      </c>
      <c r="BD5" s="84" t="n">
        <f aca="false">Assumptions!$B$8+(BD$4-1)*7</f>
        <v>46692</v>
      </c>
      <c r="BE5" s="84" t="n">
        <f aca="false">Assumptions!$B$8+(BE$4-1)*7</f>
        <v>46699</v>
      </c>
      <c r="BF5" s="84" t="n">
        <f aca="false">Assumptions!$B$8+(BF$4-1)*7</f>
        <v>46706</v>
      </c>
      <c r="BG5" s="84" t="n">
        <f aca="false">Assumptions!$B$8+(BG$4-1)*7</f>
        <v>46713</v>
      </c>
      <c r="BH5" s="84" t="n">
        <f aca="false">Assumptions!$B$8+(BH$4-1)*7</f>
        <v>46720</v>
      </c>
      <c r="BI5" s="84" t="n">
        <f aca="false">Assumptions!$B$8+(BI$4-1)*7</f>
        <v>46727</v>
      </c>
      <c r="BJ5" s="84" t="n">
        <f aca="false">Assumptions!$B$8+(BJ$4-1)*7</f>
        <v>46734</v>
      </c>
      <c r="BK5" s="84" t="n">
        <f aca="false">Assumptions!$B$8+(BK$4-1)*7</f>
        <v>46741</v>
      </c>
    </row>
    <row r="6" customFormat="false" ht="15" hidden="false" customHeight="true" outlineLevel="0" collapsed="false">
      <c r="A6" s="4" t="s">
        <v>946</v>
      </c>
      <c r="B6" s="4"/>
      <c r="C6" s="4"/>
      <c r="D6" s="85" t="str">
        <f aca="false">TEXT(D5,"mmm")</f>
        <v>Nov</v>
      </c>
      <c r="E6" s="85" t="str">
        <f aca="false">IF(MONTH(E5)&lt;&gt;MONTH(D5),TEXT(E5,"mmm"),"")</f>
        <v/>
      </c>
      <c r="F6" s="85" t="str">
        <f aca="false">IF(MONTH(F5)&lt;&gt;MONTH(E5),TEXT(F5,"mmm"),"")</f>
        <v/>
      </c>
      <c r="G6" s="85" t="str">
        <f aca="false">IF(MONTH(G5)&lt;&gt;MONTH(F5),TEXT(G5,"mmm"),"")</f>
        <v/>
      </c>
      <c r="H6" s="85" t="str">
        <f aca="false">IF(MONTH(H5)&lt;&gt;MONTH(G5),TEXT(H5,"mmm"),"")</f>
        <v/>
      </c>
      <c r="I6" s="85" t="str">
        <f aca="false">IF(MONTH(I5)&lt;&gt;MONTH(H5),TEXT(I5,"mmm"),"")</f>
        <v>Dec</v>
      </c>
      <c r="J6" s="85" t="str">
        <f aca="false">IF(MONTH(J5)&lt;&gt;MONTH(I5),TEXT(J5,"mmm"),"")</f>
        <v/>
      </c>
      <c r="K6" s="85" t="str">
        <f aca="false">IF(MONTH(K5)&lt;&gt;MONTH(J5),TEXT(K5,"mmm"),"")</f>
        <v/>
      </c>
      <c r="L6" s="85" t="str">
        <f aca="false">IF(MONTH(L5)&lt;&gt;MONTH(K5),TEXT(L5,"mmm"),"")</f>
        <v/>
      </c>
      <c r="M6" s="85" t="str">
        <f aca="false">IF(MONTH(M5)&lt;&gt;MONTH(L5),TEXT(M5,"mmm"),"")</f>
        <v>Jan</v>
      </c>
      <c r="N6" s="85" t="str">
        <f aca="false">IF(MONTH(N5)&lt;&gt;MONTH(M5),TEXT(N5,"mmm"),"")</f>
        <v/>
      </c>
      <c r="O6" s="85" t="str">
        <f aca="false">IF(MONTH(O5)&lt;&gt;MONTH(N5),TEXT(O5,"mmm"),"")</f>
        <v/>
      </c>
      <c r="P6" s="85" t="str">
        <f aca="false">IF(MONTH(P5)&lt;&gt;MONTH(O5),TEXT(P5,"mmm"),"")</f>
        <v/>
      </c>
      <c r="Q6" s="85" t="str">
        <f aca="false">IF(MONTH(Q5)&lt;&gt;MONTH(P5),TEXT(Q5,"mmm"),"")</f>
        <v>Feb</v>
      </c>
      <c r="R6" s="85" t="str">
        <f aca="false">IF(MONTH(R5)&lt;&gt;MONTH(Q5),TEXT(R5,"mmm"),"")</f>
        <v/>
      </c>
      <c r="S6" s="85" t="str">
        <f aca="false">IF(MONTH(S5)&lt;&gt;MONTH(R5),TEXT(S5,"mmm"),"")</f>
        <v/>
      </c>
      <c r="T6" s="85" t="str">
        <f aca="false">IF(MONTH(T5)&lt;&gt;MONTH(S5),TEXT(T5,"mmm"),"")</f>
        <v/>
      </c>
      <c r="U6" s="85" t="str">
        <f aca="false">IF(MONTH(U5)&lt;&gt;MONTH(T5),TEXT(U5,"mmm"),"")</f>
        <v>Mar</v>
      </c>
      <c r="V6" s="85" t="str">
        <f aca="false">IF(MONTH(V5)&lt;&gt;MONTH(U5),TEXT(V5,"mmm"),"")</f>
        <v/>
      </c>
      <c r="W6" s="85" t="str">
        <f aca="false">IF(MONTH(W5)&lt;&gt;MONTH(V5),TEXT(W5,"mmm"),"")</f>
        <v/>
      </c>
      <c r="X6" s="85" t="str">
        <f aca="false">IF(MONTH(X5)&lt;&gt;MONTH(W5),TEXT(X5,"mmm"),"")</f>
        <v/>
      </c>
      <c r="Y6" s="85" t="str">
        <f aca="false">IF(MONTH(Y5)&lt;&gt;MONTH(X5),TEXT(Y5,"mmm"),"")</f>
        <v/>
      </c>
      <c r="Z6" s="85" t="str">
        <f aca="false">IF(MONTH(Z5)&lt;&gt;MONTH(Y5),TEXT(Z5,"mmm"),"")</f>
        <v>Apr</v>
      </c>
      <c r="AA6" s="85" t="str">
        <f aca="false">IF(MONTH(AA5)&lt;&gt;MONTH(Z5),TEXT(AA5,"mmm"),"")</f>
        <v/>
      </c>
      <c r="AB6" s="85" t="str">
        <f aca="false">IF(MONTH(AB5)&lt;&gt;MONTH(AA5),TEXT(AB5,"mmm"),"")</f>
        <v/>
      </c>
      <c r="AC6" s="85" t="str">
        <f aca="false">IF(MONTH(AC5)&lt;&gt;MONTH(AB5),TEXT(AC5,"mmm"),"")</f>
        <v/>
      </c>
      <c r="AD6" s="85" t="str">
        <f aca="false">IF(MONTH(AD5)&lt;&gt;MONTH(AC5),TEXT(AD5,"mmm"),"")</f>
        <v>May</v>
      </c>
      <c r="AE6" s="85" t="str">
        <f aca="false">IF(MONTH(AE5)&lt;&gt;MONTH(AD5),TEXT(AE5,"mmm"),"")</f>
        <v/>
      </c>
      <c r="AF6" s="85" t="str">
        <f aca="false">IF(MONTH(AF5)&lt;&gt;MONTH(AE5),TEXT(AF5,"mmm"),"")</f>
        <v/>
      </c>
      <c r="AG6" s="85" t="str">
        <f aca="false">IF(MONTH(AG5)&lt;&gt;MONTH(AF5),TEXT(AG5,"mmm"),"")</f>
        <v/>
      </c>
      <c r="AH6" s="85" t="str">
        <f aca="false">IF(MONTH(AH5)&lt;&gt;MONTH(AG5),TEXT(AH5,"mmm"),"")</f>
        <v/>
      </c>
      <c r="AI6" s="85" t="str">
        <f aca="false">IF(MONTH(AI5)&lt;&gt;MONTH(AH5),TEXT(AI5,"mmm"),"")</f>
        <v>Jun</v>
      </c>
      <c r="AJ6" s="85" t="str">
        <f aca="false">IF(MONTH(AJ5)&lt;&gt;MONTH(AI5),TEXT(AJ5,"mmm"),"")</f>
        <v/>
      </c>
      <c r="AK6" s="85" t="str">
        <f aca="false">IF(MONTH(AK5)&lt;&gt;MONTH(AJ5),TEXT(AK5,"mmm"),"")</f>
        <v/>
      </c>
      <c r="AL6" s="85" t="str">
        <f aca="false">IF(MONTH(AL5)&lt;&gt;MONTH(AK5),TEXT(AL5,"mmm"),"")</f>
        <v/>
      </c>
      <c r="AM6" s="85" t="str">
        <f aca="false">IF(MONTH(AM5)&lt;&gt;MONTH(AL5),TEXT(AM5,"mmm"),"")</f>
        <v>Jul</v>
      </c>
      <c r="AN6" s="85" t="str">
        <f aca="false">IF(MONTH(AN5)&lt;&gt;MONTH(AM5),TEXT(AN5,"mmm"),"")</f>
        <v/>
      </c>
      <c r="AO6" s="85" t="str">
        <f aca="false">IF(MONTH(AO5)&lt;&gt;MONTH(AN5),TEXT(AO5,"mmm"),"")</f>
        <v/>
      </c>
      <c r="AP6" s="85" t="str">
        <f aca="false">IF(MONTH(AP5)&lt;&gt;MONTH(AO5),TEXT(AP5,"mmm"),"")</f>
        <v/>
      </c>
      <c r="AQ6" s="85" t="str">
        <f aca="false">IF(MONTH(AQ5)&lt;&gt;MONTH(AP5),TEXT(AQ5,"mmm"),"")</f>
        <v>Aug</v>
      </c>
      <c r="AR6" s="85" t="str">
        <f aca="false">IF(MONTH(AR5)&lt;&gt;MONTH(AQ5),TEXT(AR5,"mmm"),"")</f>
        <v/>
      </c>
      <c r="AS6" s="85" t="str">
        <f aca="false">IF(MONTH(AS5)&lt;&gt;MONTH(AR5),TEXT(AS5,"mmm"),"")</f>
        <v/>
      </c>
      <c r="AT6" s="85" t="str">
        <f aca="false">IF(MONTH(AT5)&lt;&gt;MONTH(AS5),TEXT(AT5,"mmm"),"")</f>
        <v/>
      </c>
      <c r="AU6" s="85" t="str">
        <f aca="false">IF(MONTH(AU5)&lt;&gt;MONTH(AT5),TEXT(AU5,"mmm"),"")</f>
        <v/>
      </c>
      <c r="AV6" s="85" t="str">
        <f aca="false">IF(MONTH(AV5)&lt;&gt;MONTH(AU5),TEXT(AV5,"mmm"),"")</f>
        <v>Sep</v>
      </c>
      <c r="AW6" s="85" t="str">
        <f aca="false">IF(MONTH(AW5)&lt;&gt;MONTH(AV5),TEXT(AW5,"mmm"),"")</f>
        <v/>
      </c>
      <c r="AX6" s="85" t="str">
        <f aca="false">IF(MONTH(AX5)&lt;&gt;MONTH(AW5),TEXT(AX5,"mmm"),"")</f>
        <v/>
      </c>
      <c r="AY6" s="85" t="str">
        <f aca="false">IF(MONTH(AY5)&lt;&gt;MONTH(AX5),TEXT(AY5,"mmm"),"")</f>
        <v/>
      </c>
      <c r="AZ6" s="85" t="str">
        <f aca="false">IF(MONTH(AZ5)&lt;&gt;MONTH(AY5),TEXT(AZ5,"mmm"),"")</f>
        <v>Oct</v>
      </c>
      <c r="BA6" s="85" t="str">
        <f aca="false">IF(MONTH(BA5)&lt;&gt;MONTH(AZ5),TEXT(BA5,"mmm"),"")</f>
        <v/>
      </c>
      <c r="BB6" s="85" t="str">
        <f aca="false">IF(MONTH(BB5)&lt;&gt;MONTH(BA5),TEXT(BB5,"mmm"),"")</f>
        <v/>
      </c>
      <c r="BC6" s="85" t="str">
        <f aca="false">IF(MONTH(BC5)&lt;&gt;MONTH(BB5),TEXT(BC5,"mmm"),"")</f>
        <v/>
      </c>
      <c r="BD6" s="85" t="str">
        <f aca="false">IF(MONTH(BD5)&lt;&gt;MONTH(BC5),TEXT(BD5,"mmm"),"")</f>
        <v>Nov</v>
      </c>
      <c r="BE6" s="85" t="str">
        <f aca="false">IF(MONTH(BE5)&lt;&gt;MONTH(BD5),TEXT(BE5,"mmm"),"")</f>
        <v/>
      </c>
      <c r="BF6" s="85" t="str">
        <f aca="false">IF(MONTH(BF5)&lt;&gt;MONTH(BE5),TEXT(BF5,"mmm"),"")</f>
        <v/>
      </c>
      <c r="BG6" s="85" t="str">
        <f aca="false">IF(MONTH(BG5)&lt;&gt;MONTH(BF5),TEXT(BG5,"mmm"),"")</f>
        <v/>
      </c>
      <c r="BH6" s="85" t="str">
        <f aca="false">IF(MONTH(BH5)&lt;&gt;MONTH(BG5),TEXT(BH5,"mmm"),"")</f>
        <v/>
      </c>
      <c r="BI6" s="85" t="str">
        <f aca="false">IF(MONTH(BI5)&lt;&gt;MONTH(BH5),TEXT(BI5,"mmm"),"")</f>
        <v>Dec</v>
      </c>
      <c r="BJ6" s="85" t="str">
        <f aca="false">IF(MONTH(BJ5)&lt;&gt;MONTH(BI5),TEXT(BJ5,"mmm"),"")</f>
        <v/>
      </c>
      <c r="BK6" s="85" t="str">
        <f aca="false">IF(MONTH(BK5)&lt;&gt;MONTH(BJ5),TEXT(BK5,"mmm"),"")</f>
        <v/>
      </c>
    </row>
    <row r="7" customFormat="false" ht="18" hidden="false" customHeight="true" outlineLevel="0" collapsed="false">
      <c r="A7" s="79" t="str">
        <f aca="false">Schedule!A5</f>
        <v>Preproduction</v>
      </c>
      <c r="B7" s="86" t="n">
        <f aca="false">Schedule!C5</f>
        <v>46328</v>
      </c>
      <c r="C7" s="86" t="n">
        <f aca="false">Schedule!D5</f>
        <v>46383</v>
      </c>
      <c r="D7" s="87" t="n">
        <f aca="false">IF(AND(D$5+6&gt;=$B7,D$5&lt;=$C7),1,"")</f>
        <v>1</v>
      </c>
      <c r="E7" s="87" t="n">
        <f aca="false">IF(AND(E$5+6&gt;=$B7,E$5&lt;=$C7),1,"")</f>
        <v>1</v>
      </c>
      <c r="F7" s="87" t="n">
        <f aca="false">IF(AND(F$5+6&gt;=$B7,F$5&lt;=$C7),1,"")</f>
        <v>1</v>
      </c>
      <c r="G7" s="87" t="n">
        <f aca="false">IF(AND(G$5+6&gt;=$B7,G$5&lt;=$C7),1,"")</f>
        <v>1</v>
      </c>
      <c r="H7" s="87" t="n">
        <f aca="false">IF(AND(H$5+6&gt;=$B7,H$5&lt;=$C7),1,"")</f>
        <v>1</v>
      </c>
      <c r="I7" s="87" t="n">
        <f aca="false">IF(AND(I$5+6&gt;=$B7,I$5&lt;=$C7),1,"")</f>
        <v>1</v>
      </c>
      <c r="J7" s="87" t="n">
        <f aca="false">IF(AND(J$5+6&gt;=$B7,J$5&lt;=$C7),1,"")</f>
        <v>1</v>
      </c>
      <c r="K7" s="87" t="n">
        <f aca="false">IF(AND(K$5+6&gt;=$B7,K$5&lt;=$C7),1,"")</f>
        <v>1</v>
      </c>
      <c r="L7" s="87" t="str">
        <f aca="false">IF(AND(L$5+6&gt;=$B7,L$5&lt;=$C7),1,"")</f>
        <v/>
      </c>
      <c r="M7" s="87" t="str">
        <f aca="false">IF(AND(M$5+6&gt;=$B7,M$5&lt;=$C7),1,"")</f>
        <v/>
      </c>
      <c r="N7" s="87" t="str">
        <f aca="false">IF(AND(N$5+6&gt;=$B7,N$5&lt;=$C7),1,"")</f>
        <v/>
      </c>
      <c r="O7" s="87" t="str">
        <f aca="false">IF(AND(O$5+6&gt;=$B7,O$5&lt;=$C7),1,"")</f>
        <v/>
      </c>
      <c r="P7" s="87" t="str">
        <f aca="false">IF(AND(P$5+6&gt;=$B7,P$5&lt;=$C7),1,"")</f>
        <v/>
      </c>
      <c r="Q7" s="87" t="str">
        <f aca="false">IF(AND(Q$5+6&gt;=$B7,Q$5&lt;=$C7),1,"")</f>
        <v/>
      </c>
      <c r="R7" s="87" t="str">
        <f aca="false">IF(AND(R$5+6&gt;=$B7,R$5&lt;=$C7),1,"")</f>
        <v/>
      </c>
      <c r="S7" s="87" t="str">
        <f aca="false">IF(AND(S$5+6&gt;=$B7,S$5&lt;=$C7),1,"")</f>
        <v/>
      </c>
      <c r="T7" s="87" t="str">
        <f aca="false">IF(AND(T$5+6&gt;=$B7,T$5&lt;=$C7),1,"")</f>
        <v/>
      </c>
      <c r="U7" s="87" t="str">
        <f aca="false">IF(AND(U$5+6&gt;=$B7,U$5&lt;=$C7),1,"")</f>
        <v/>
      </c>
      <c r="V7" s="87" t="str">
        <f aca="false">IF(AND(V$5+6&gt;=$B7,V$5&lt;=$C7),1,"")</f>
        <v/>
      </c>
      <c r="W7" s="87" t="str">
        <f aca="false">IF(AND(W$5+6&gt;=$B7,W$5&lt;=$C7),1,"")</f>
        <v/>
      </c>
      <c r="X7" s="87" t="str">
        <f aca="false">IF(AND(X$5+6&gt;=$B7,X$5&lt;=$C7),1,"")</f>
        <v/>
      </c>
      <c r="Y7" s="87" t="str">
        <f aca="false">IF(AND(Y$5+6&gt;=$B7,Y$5&lt;=$C7),1,"")</f>
        <v/>
      </c>
      <c r="Z7" s="87" t="str">
        <f aca="false">IF(AND(Z$5+6&gt;=$B7,Z$5&lt;=$C7),1,"")</f>
        <v/>
      </c>
      <c r="AA7" s="87" t="str">
        <f aca="false">IF(AND(AA$5+6&gt;=$B7,AA$5&lt;=$C7),1,"")</f>
        <v/>
      </c>
      <c r="AB7" s="87" t="str">
        <f aca="false">IF(AND(AB$5+6&gt;=$B7,AB$5&lt;=$C7),1,"")</f>
        <v/>
      </c>
      <c r="AC7" s="87" t="str">
        <f aca="false">IF(AND(AC$5+6&gt;=$B7,AC$5&lt;=$C7),1,"")</f>
        <v/>
      </c>
      <c r="AD7" s="87" t="str">
        <f aca="false">IF(AND(AD$5+6&gt;=$B7,AD$5&lt;=$C7),1,"")</f>
        <v/>
      </c>
      <c r="AE7" s="87" t="str">
        <f aca="false">IF(AND(AE$5+6&gt;=$B7,AE$5&lt;=$C7),1,"")</f>
        <v/>
      </c>
      <c r="AF7" s="87" t="str">
        <f aca="false">IF(AND(AF$5+6&gt;=$B7,AF$5&lt;=$C7),1,"")</f>
        <v/>
      </c>
      <c r="AG7" s="87" t="str">
        <f aca="false">IF(AND(AG$5+6&gt;=$B7,AG$5&lt;=$C7),1,"")</f>
        <v/>
      </c>
      <c r="AH7" s="87" t="str">
        <f aca="false">IF(AND(AH$5+6&gt;=$B7,AH$5&lt;=$C7),1,"")</f>
        <v/>
      </c>
      <c r="AI7" s="87" t="str">
        <f aca="false">IF(AND(AI$5+6&gt;=$B7,AI$5&lt;=$C7),1,"")</f>
        <v/>
      </c>
      <c r="AJ7" s="87" t="str">
        <f aca="false">IF(AND(AJ$5+6&gt;=$B7,AJ$5&lt;=$C7),1,"")</f>
        <v/>
      </c>
      <c r="AK7" s="87" t="str">
        <f aca="false">IF(AND(AK$5+6&gt;=$B7,AK$5&lt;=$C7),1,"")</f>
        <v/>
      </c>
      <c r="AL7" s="87" t="str">
        <f aca="false">IF(AND(AL$5+6&gt;=$B7,AL$5&lt;=$C7),1,"")</f>
        <v/>
      </c>
      <c r="AM7" s="87" t="str">
        <f aca="false">IF(AND(AM$5+6&gt;=$B7,AM$5&lt;=$C7),1,"")</f>
        <v/>
      </c>
      <c r="AN7" s="87" t="str">
        <f aca="false">IF(AND(AN$5+6&gt;=$B7,AN$5&lt;=$C7),1,"")</f>
        <v/>
      </c>
      <c r="AO7" s="87" t="str">
        <f aca="false">IF(AND(AO$5+6&gt;=$B7,AO$5&lt;=$C7),1,"")</f>
        <v/>
      </c>
      <c r="AP7" s="87" t="str">
        <f aca="false">IF(AND(AP$5+6&gt;=$B7,AP$5&lt;=$C7),1,"")</f>
        <v/>
      </c>
      <c r="AQ7" s="87" t="str">
        <f aca="false">IF(AND(AQ$5+6&gt;=$B7,AQ$5&lt;=$C7),1,"")</f>
        <v/>
      </c>
      <c r="AR7" s="87" t="str">
        <f aca="false">IF(AND(AR$5+6&gt;=$B7,AR$5&lt;=$C7),1,"")</f>
        <v/>
      </c>
      <c r="AS7" s="87" t="str">
        <f aca="false">IF(AND(AS$5+6&gt;=$B7,AS$5&lt;=$C7),1,"")</f>
        <v/>
      </c>
      <c r="AT7" s="87" t="str">
        <f aca="false">IF(AND(AT$5+6&gt;=$B7,AT$5&lt;=$C7),1,"")</f>
        <v/>
      </c>
      <c r="AU7" s="87" t="str">
        <f aca="false">IF(AND(AU$5+6&gt;=$B7,AU$5&lt;=$C7),1,"")</f>
        <v/>
      </c>
      <c r="AV7" s="87" t="str">
        <f aca="false">IF(AND(AV$5+6&gt;=$B7,AV$5&lt;=$C7),1,"")</f>
        <v/>
      </c>
      <c r="AW7" s="87" t="str">
        <f aca="false">IF(AND(AW$5+6&gt;=$B7,AW$5&lt;=$C7),1,"")</f>
        <v/>
      </c>
      <c r="AX7" s="87" t="str">
        <f aca="false">IF(AND(AX$5+6&gt;=$B7,AX$5&lt;=$C7),1,"")</f>
        <v/>
      </c>
      <c r="AY7" s="87" t="str">
        <f aca="false">IF(AND(AY$5+6&gt;=$B7,AY$5&lt;=$C7),1,"")</f>
        <v/>
      </c>
      <c r="AZ7" s="87" t="str">
        <f aca="false">IF(AND(AZ$5+6&gt;=$B7,AZ$5&lt;=$C7),1,"")</f>
        <v/>
      </c>
      <c r="BA7" s="87" t="str">
        <f aca="false">IF(AND(BA$5+6&gt;=$B7,BA$5&lt;=$C7),1,"")</f>
        <v/>
      </c>
      <c r="BB7" s="87" t="str">
        <f aca="false">IF(AND(BB$5+6&gt;=$B7,BB$5&lt;=$C7),1,"")</f>
        <v/>
      </c>
      <c r="BC7" s="87" t="str">
        <f aca="false">IF(AND(BC$5+6&gt;=$B7,BC$5&lt;=$C7),1,"")</f>
        <v/>
      </c>
      <c r="BD7" s="87" t="str">
        <f aca="false">IF(AND(BD$5+6&gt;=$B7,BD$5&lt;=$C7),1,"")</f>
        <v/>
      </c>
      <c r="BE7" s="87" t="str">
        <f aca="false">IF(AND(BE$5+6&gt;=$B7,BE$5&lt;=$C7),1,"")</f>
        <v/>
      </c>
      <c r="BF7" s="87" t="str">
        <f aca="false">IF(AND(BF$5+6&gt;=$B7,BF$5&lt;=$C7),1,"")</f>
        <v/>
      </c>
      <c r="BG7" s="87" t="str">
        <f aca="false">IF(AND(BG$5+6&gt;=$B7,BG$5&lt;=$C7),1,"")</f>
        <v/>
      </c>
      <c r="BH7" s="87" t="str">
        <f aca="false">IF(AND(BH$5+6&gt;=$B7,BH$5&lt;=$C7),1,"")</f>
        <v/>
      </c>
      <c r="BI7" s="87" t="str">
        <f aca="false">IF(AND(BI$5+6&gt;=$B7,BI$5&lt;=$C7),1,"")</f>
        <v/>
      </c>
      <c r="BJ7" s="87" t="str">
        <f aca="false">IF(AND(BJ$5+6&gt;=$B7,BJ$5&lt;=$C7),1,"")</f>
        <v/>
      </c>
      <c r="BK7" s="87" t="str">
        <f aca="false">IF(AND(BK$5+6&gt;=$B7,BK$5&lt;=$C7),1,"")</f>
        <v/>
      </c>
    </row>
    <row r="8" customFormat="false" ht="18" hidden="false" customHeight="true" outlineLevel="0" collapsed="false">
      <c r="A8" s="79" t="str">
        <f aca="false">Schedule!A6</f>
        <v>Vertical slice</v>
      </c>
      <c r="B8" s="86" t="n">
        <f aca="false">Schedule!C6</f>
        <v>46384</v>
      </c>
      <c r="C8" s="86" t="n">
        <f aca="false">Schedule!D6</f>
        <v>46453</v>
      </c>
      <c r="D8" s="87" t="str">
        <f aca="false">IF(AND(D$5+6&gt;=$B8,D$5&lt;=$C8),1,"")</f>
        <v/>
      </c>
      <c r="E8" s="87" t="str">
        <f aca="false">IF(AND(E$5+6&gt;=$B8,E$5&lt;=$C8),1,"")</f>
        <v/>
      </c>
      <c r="F8" s="87" t="str">
        <f aca="false">IF(AND(F$5+6&gt;=$B8,F$5&lt;=$C8),1,"")</f>
        <v/>
      </c>
      <c r="G8" s="87" t="str">
        <f aca="false">IF(AND(G$5+6&gt;=$B8,G$5&lt;=$C8),1,"")</f>
        <v/>
      </c>
      <c r="H8" s="87" t="str">
        <f aca="false">IF(AND(H$5+6&gt;=$B8,H$5&lt;=$C8),1,"")</f>
        <v/>
      </c>
      <c r="I8" s="87" t="str">
        <f aca="false">IF(AND(I$5+6&gt;=$B8,I$5&lt;=$C8),1,"")</f>
        <v/>
      </c>
      <c r="J8" s="87" t="str">
        <f aca="false">IF(AND(J$5+6&gt;=$B8,J$5&lt;=$C8),1,"")</f>
        <v/>
      </c>
      <c r="K8" s="87" t="str">
        <f aca="false">IF(AND(K$5+6&gt;=$B8,K$5&lt;=$C8),1,"")</f>
        <v/>
      </c>
      <c r="L8" s="87" t="n">
        <f aca="false">IF(AND(L$5+6&gt;=$B8,L$5&lt;=$C8),1,"")</f>
        <v>1</v>
      </c>
      <c r="M8" s="87" t="n">
        <f aca="false">IF(AND(M$5+6&gt;=$B8,M$5&lt;=$C8),1,"")</f>
        <v>1</v>
      </c>
      <c r="N8" s="87" t="n">
        <f aca="false">IF(AND(N$5+6&gt;=$B8,N$5&lt;=$C8),1,"")</f>
        <v>1</v>
      </c>
      <c r="O8" s="87" t="n">
        <f aca="false">IF(AND(O$5+6&gt;=$B8,O$5&lt;=$C8),1,"")</f>
        <v>1</v>
      </c>
      <c r="P8" s="87" t="n">
        <f aca="false">IF(AND(P$5+6&gt;=$B8,P$5&lt;=$C8),1,"")</f>
        <v>1</v>
      </c>
      <c r="Q8" s="87" t="n">
        <f aca="false">IF(AND(Q$5+6&gt;=$B8,Q$5&lt;=$C8),1,"")</f>
        <v>1</v>
      </c>
      <c r="R8" s="87" t="n">
        <f aca="false">IF(AND(R$5+6&gt;=$B8,R$5&lt;=$C8),1,"")</f>
        <v>1</v>
      </c>
      <c r="S8" s="87" t="n">
        <f aca="false">IF(AND(S$5+6&gt;=$B8,S$5&lt;=$C8),1,"")</f>
        <v>1</v>
      </c>
      <c r="T8" s="87" t="n">
        <f aca="false">IF(AND(T$5+6&gt;=$B8,T$5&lt;=$C8),1,"")</f>
        <v>1</v>
      </c>
      <c r="U8" s="87" t="n">
        <f aca="false">IF(AND(U$5+6&gt;=$B8,U$5&lt;=$C8),1,"")</f>
        <v>1</v>
      </c>
      <c r="V8" s="87" t="str">
        <f aca="false">IF(AND(V$5+6&gt;=$B8,V$5&lt;=$C8),1,"")</f>
        <v/>
      </c>
      <c r="W8" s="87" t="str">
        <f aca="false">IF(AND(W$5+6&gt;=$B8,W$5&lt;=$C8),1,"")</f>
        <v/>
      </c>
      <c r="X8" s="87" t="str">
        <f aca="false">IF(AND(X$5+6&gt;=$B8,X$5&lt;=$C8),1,"")</f>
        <v/>
      </c>
      <c r="Y8" s="87" t="str">
        <f aca="false">IF(AND(Y$5+6&gt;=$B8,Y$5&lt;=$C8),1,"")</f>
        <v/>
      </c>
      <c r="Z8" s="87" t="str">
        <f aca="false">IF(AND(Z$5+6&gt;=$B8,Z$5&lt;=$C8),1,"")</f>
        <v/>
      </c>
      <c r="AA8" s="87" t="str">
        <f aca="false">IF(AND(AA$5+6&gt;=$B8,AA$5&lt;=$C8),1,"")</f>
        <v/>
      </c>
      <c r="AB8" s="87" t="str">
        <f aca="false">IF(AND(AB$5+6&gt;=$B8,AB$5&lt;=$C8),1,"")</f>
        <v/>
      </c>
      <c r="AC8" s="87" t="str">
        <f aca="false">IF(AND(AC$5+6&gt;=$B8,AC$5&lt;=$C8),1,"")</f>
        <v/>
      </c>
      <c r="AD8" s="87" t="str">
        <f aca="false">IF(AND(AD$5+6&gt;=$B8,AD$5&lt;=$C8),1,"")</f>
        <v/>
      </c>
      <c r="AE8" s="87" t="str">
        <f aca="false">IF(AND(AE$5+6&gt;=$B8,AE$5&lt;=$C8),1,"")</f>
        <v/>
      </c>
      <c r="AF8" s="87" t="str">
        <f aca="false">IF(AND(AF$5+6&gt;=$B8,AF$5&lt;=$C8),1,"")</f>
        <v/>
      </c>
      <c r="AG8" s="87" t="str">
        <f aca="false">IF(AND(AG$5+6&gt;=$B8,AG$5&lt;=$C8),1,"")</f>
        <v/>
      </c>
      <c r="AH8" s="87" t="str">
        <f aca="false">IF(AND(AH$5+6&gt;=$B8,AH$5&lt;=$C8),1,"")</f>
        <v/>
      </c>
      <c r="AI8" s="87" t="str">
        <f aca="false">IF(AND(AI$5+6&gt;=$B8,AI$5&lt;=$C8),1,"")</f>
        <v/>
      </c>
      <c r="AJ8" s="87" t="str">
        <f aca="false">IF(AND(AJ$5+6&gt;=$B8,AJ$5&lt;=$C8),1,"")</f>
        <v/>
      </c>
      <c r="AK8" s="87" t="str">
        <f aca="false">IF(AND(AK$5+6&gt;=$B8,AK$5&lt;=$C8),1,"")</f>
        <v/>
      </c>
      <c r="AL8" s="87" t="str">
        <f aca="false">IF(AND(AL$5+6&gt;=$B8,AL$5&lt;=$C8),1,"")</f>
        <v/>
      </c>
      <c r="AM8" s="87" t="str">
        <f aca="false">IF(AND(AM$5+6&gt;=$B8,AM$5&lt;=$C8),1,"")</f>
        <v/>
      </c>
      <c r="AN8" s="87" t="str">
        <f aca="false">IF(AND(AN$5+6&gt;=$B8,AN$5&lt;=$C8),1,"")</f>
        <v/>
      </c>
      <c r="AO8" s="87" t="str">
        <f aca="false">IF(AND(AO$5+6&gt;=$B8,AO$5&lt;=$C8),1,"")</f>
        <v/>
      </c>
      <c r="AP8" s="87" t="str">
        <f aca="false">IF(AND(AP$5+6&gt;=$B8,AP$5&lt;=$C8),1,"")</f>
        <v/>
      </c>
      <c r="AQ8" s="87" t="str">
        <f aca="false">IF(AND(AQ$5+6&gt;=$B8,AQ$5&lt;=$C8),1,"")</f>
        <v/>
      </c>
      <c r="AR8" s="87" t="str">
        <f aca="false">IF(AND(AR$5+6&gt;=$B8,AR$5&lt;=$C8),1,"")</f>
        <v/>
      </c>
      <c r="AS8" s="87" t="str">
        <f aca="false">IF(AND(AS$5+6&gt;=$B8,AS$5&lt;=$C8),1,"")</f>
        <v/>
      </c>
      <c r="AT8" s="87" t="str">
        <f aca="false">IF(AND(AT$5+6&gt;=$B8,AT$5&lt;=$C8),1,"")</f>
        <v/>
      </c>
      <c r="AU8" s="87" t="str">
        <f aca="false">IF(AND(AU$5+6&gt;=$B8,AU$5&lt;=$C8),1,"")</f>
        <v/>
      </c>
      <c r="AV8" s="87" t="str">
        <f aca="false">IF(AND(AV$5+6&gt;=$B8,AV$5&lt;=$C8),1,"")</f>
        <v/>
      </c>
      <c r="AW8" s="87" t="str">
        <f aca="false">IF(AND(AW$5+6&gt;=$B8,AW$5&lt;=$C8),1,"")</f>
        <v/>
      </c>
      <c r="AX8" s="87" t="str">
        <f aca="false">IF(AND(AX$5+6&gt;=$B8,AX$5&lt;=$C8),1,"")</f>
        <v/>
      </c>
      <c r="AY8" s="87" t="str">
        <f aca="false">IF(AND(AY$5+6&gt;=$B8,AY$5&lt;=$C8),1,"")</f>
        <v/>
      </c>
      <c r="AZ8" s="87" t="str">
        <f aca="false">IF(AND(AZ$5+6&gt;=$B8,AZ$5&lt;=$C8),1,"")</f>
        <v/>
      </c>
      <c r="BA8" s="87" t="str">
        <f aca="false">IF(AND(BA$5+6&gt;=$B8,BA$5&lt;=$C8),1,"")</f>
        <v/>
      </c>
      <c r="BB8" s="87" t="str">
        <f aca="false">IF(AND(BB$5+6&gt;=$B8,BB$5&lt;=$C8),1,"")</f>
        <v/>
      </c>
      <c r="BC8" s="87" t="str">
        <f aca="false">IF(AND(BC$5+6&gt;=$B8,BC$5&lt;=$C8),1,"")</f>
        <v/>
      </c>
      <c r="BD8" s="87" t="str">
        <f aca="false">IF(AND(BD$5+6&gt;=$B8,BD$5&lt;=$C8),1,"")</f>
        <v/>
      </c>
      <c r="BE8" s="87" t="str">
        <f aca="false">IF(AND(BE$5+6&gt;=$B8,BE$5&lt;=$C8),1,"")</f>
        <v/>
      </c>
      <c r="BF8" s="87" t="str">
        <f aca="false">IF(AND(BF$5+6&gt;=$B8,BF$5&lt;=$C8),1,"")</f>
        <v/>
      </c>
      <c r="BG8" s="87" t="str">
        <f aca="false">IF(AND(BG$5+6&gt;=$B8,BG$5&lt;=$C8),1,"")</f>
        <v/>
      </c>
      <c r="BH8" s="87" t="str">
        <f aca="false">IF(AND(BH$5+6&gt;=$B8,BH$5&lt;=$C8),1,"")</f>
        <v/>
      </c>
      <c r="BI8" s="87" t="str">
        <f aca="false">IF(AND(BI$5+6&gt;=$B8,BI$5&lt;=$C8),1,"")</f>
        <v/>
      </c>
      <c r="BJ8" s="87" t="str">
        <f aca="false">IF(AND(BJ$5+6&gt;=$B8,BJ$5&lt;=$C8),1,"")</f>
        <v/>
      </c>
      <c r="BK8" s="87" t="str">
        <f aca="false">IF(AND(BK$5+6&gt;=$B8,BK$5&lt;=$C8),1,"")</f>
        <v/>
      </c>
    </row>
    <row r="9" customFormat="false" ht="18" hidden="false" customHeight="true" outlineLevel="0" collapsed="false">
      <c r="A9" s="79" t="str">
        <f aca="false">Schedule!A7</f>
        <v>Production</v>
      </c>
      <c r="B9" s="86" t="n">
        <f aca="false">Schedule!C7</f>
        <v>46454</v>
      </c>
      <c r="C9" s="86" t="n">
        <f aca="false">Schedule!D7</f>
        <v>46579</v>
      </c>
      <c r="D9" s="87" t="str">
        <f aca="false">IF(AND(D$5+6&gt;=$B9,D$5&lt;=$C9),1,"")</f>
        <v/>
      </c>
      <c r="E9" s="87" t="str">
        <f aca="false">IF(AND(E$5+6&gt;=$B9,E$5&lt;=$C9),1,"")</f>
        <v/>
      </c>
      <c r="F9" s="87" t="str">
        <f aca="false">IF(AND(F$5+6&gt;=$B9,F$5&lt;=$C9),1,"")</f>
        <v/>
      </c>
      <c r="G9" s="87" t="str">
        <f aca="false">IF(AND(G$5+6&gt;=$B9,G$5&lt;=$C9),1,"")</f>
        <v/>
      </c>
      <c r="H9" s="87" t="str">
        <f aca="false">IF(AND(H$5+6&gt;=$B9,H$5&lt;=$C9),1,"")</f>
        <v/>
      </c>
      <c r="I9" s="87" t="str">
        <f aca="false">IF(AND(I$5+6&gt;=$B9,I$5&lt;=$C9),1,"")</f>
        <v/>
      </c>
      <c r="J9" s="87" t="str">
        <f aca="false">IF(AND(J$5+6&gt;=$B9,J$5&lt;=$C9),1,"")</f>
        <v/>
      </c>
      <c r="K9" s="87" t="str">
        <f aca="false">IF(AND(K$5+6&gt;=$B9,K$5&lt;=$C9),1,"")</f>
        <v/>
      </c>
      <c r="L9" s="87" t="str">
        <f aca="false">IF(AND(L$5+6&gt;=$B9,L$5&lt;=$C9),1,"")</f>
        <v/>
      </c>
      <c r="M9" s="87" t="str">
        <f aca="false">IF(AND(M$5+6&gt;=$B9,M$5&lt;=$C9),1,"")</f>
        <v/>
      </c>
      <c r="N9" s="87" t="str">
        <f aca="false">IF(AND(N$5+6&gt;=$B9,N$5&lt;=$C9),1,"")</f>
        <v/>
      </c>
      <c r="O9" s="87" t="str">
        <f aca="false">IF(AND(O$5+6&gt;=$B9,O$5&lt;=$C9),1,"")</f>
        <v/>
      </c>
      <c r="P9" s="87" t="str">
        <f aca="false">IF(AND(P$5+6&gt;=$B9,P$5&lt;=$C9),1,"")</f>
        <v/>
      </c>
      <c r="Q9" s="87" t="str">
        <f aca="false">IF(AND(Q$5+6&gt;=$B9,Q$5&lt;=$C9),1,"")</f>
        <v/>
      </c>
      <c r="R9" s="87" t="str">
        <f aca="false">IF(AND(R$5+6&gt;=$B9,R$5&lt;=$C9),1,"")</f>
        <v/>
      </c>
      <c r="S9" s="87" t="str">
        <f aca="false">IF(AND(S$5+6&gt;=$B9,S$5&lt;=$C9),1,"")</f>
        <v/>
      </c>
      <c r="T9" s="87" t="str">
        <f aca="false">IF(AND(T$5+6&gt;=$B9,T$5&lt;=$C9),1,"")</f>
        <v/>
      </c>
      <c r="U9" s="87" t="str">
        <f aca="false">IF(AND(U$5+6&gt;=$B9,U$5&lt;=$C9),1,"")</f>
        <v/>
      </c>
      <c r="V9" s="87" t="n">
        <f aca="false">IF(AND(V$5+6&gt;=$B9,V$5&lt;=$C9),1,"")</f>
        <v>1</v>
      </c>
      <c r="W9" s="87" t="n">
        <f aca="false">IF(AND(W$5+6&gt;=$B9,W$5&lt;=$C9),1,"")</f>
        <v>1</v>
      </c>
      <c r="X9" s="87" t="n">
        <f aca="false">IF(AND(X$5+6&gt;=$B9,X$5&lt;=$C9),1,"")</f>
        <v>1</v>
      </c>
      <c r="Y9" s="87" t="n">
        <f aca="false">IF(AND(Y$5+6&gt;=$B9,Y$5&lt;=$C9),1,"")</f>
        <v>1</v>
      </c>
      <c r="Z9" s="87" t="n">
        <f aca="false">IF(AND(Z$5+6&gt;=$B9,Z$5&lt;=$C9),1,"")</f>
        <v>1</v>
      </c>
      <c r="AA9" s="87" t="n">
        <f aca="false">IF(AND(AA$5+6&gt;=$B9,AA$5&lt;=$C9),1,"")</f>
        <v>1</v>
      </c>
      <c r="AB9" s="87" t="n">
        <f aca="false">IF(AND(AB$5+6&gt;=$B9,AB$5&lt;=$C9),1,"")</f>
        <v>1</v>
      </c>
      <c r="AC9" s="87" t="n">
        <f aca="false">IF(AND(AC$5+6&gt;=$B9,AC$5&lt;=$C9),1,"")</f>
        <v>1</v>
      </c>
      <c r="AD9" s="87" t="n">
        <f aca="false">IF(AND(AD$5+6&gt;=$B9,AD$5&lt;=$C9),1,"")</f>
        <v>1</v>
      </c>
      <c r="AE9" s="87" t="n">
        <f aca="false">IF(AND(AE$5+6&gt;=$B9,AE$5&lt;=$C9),1,"")</f>
        <v>1</v>
      </c>
      <c r="AF9" s="87" t="n">
        <f aca="false">IF(AND(AF$5+6&gt;=$B9,AF$5&lt;=$C9),1,"")</f>
        <v>1</v>
      </c>
      <c r="AG9" s="87" t="n">
        <f aca="false">IF(AND(AG$5+6&gt;=$B9,AG$5&lt;=$C9),1,"")</f>
        <v>1</v>
      </c>
      <c r="AH9" s="87" t="n">
        <f aca="false">IF(AND(AH$5+6&gt;=$B9,AH$5&lt;=$C9),1,"")</f>
        <v>1</v>
      </c>
      <c r="AI9" s="87" t="n">
        <f aca="false">IF(AND(AI$5+6&gt;=$B9,AI$5&lt;=$C9),1,"")</f>
        <v>1</v>
      </c>
      <c r="AJ9" s="87" t="n">
        <f aca="false">IF(AND(AJ$5+6&gt;=$B9,AJ$5&lt;=$C9),1,"")</f>
        <v>1</v>
      </c>
      <c r="AK9" s="87" t="n">
        <f aca="false">IF(AND(AK$5+6&gt;=$B9,AK$5&lt;=$C9),1,"")</f>
        <v>1</v>
      </c>
      <c r="AL9" s="87" t="n">
        <f aca="false">IF(AND(AL$5+6&gt;=$B9,AL$5&lt;=$C9),1,"")</f>
        <v>1</v>
      </c>
      <c r="AM9" s="87" t="n">
        <f aca="false">IF(AND(AM$5+6&gt;=$B9,AM$5&lt;=$C9),1,"")</f>
        <v>1</v>
      </c>
      <c r="AN9" s="87" t="str">
        <f aca="false">IF(AND(AN$5+6&gt;=$B9,AN$5&lt;=$C9),1,"")</f>
        <v/>
      </c>
      <c r="AO9" s="87" t="str">
        <f aca="false">IF(AND(AO$5+6&gt;=$B9,AO$5&lt;=$C9),1,"")</f>
        <v/>
      </c>
      <c r="AP9" s="87" t="str">
        <f aca="false">IF(AND(AP$5+6&gt;=$B9,AP$5&lt;=$C9),1,"")</f>
        <v/>
      </c>
      <c r="AQ9" s="87" t="str">
        <f aca="false">IF(AND(AQ$5+6&gt;=$B9,AQ$5&lt;=$C9),1,"")</f>
        <v/>
      </c>
      <c r="AR9" s="87" t="str">
        <f aca="false">IF(AND(AR$5+6&gt;=$B9,AR$5&lt;=$C9),1,"")</f>
        <v/>
      </c>
      <c r="AS9" s="87" t="str">
        <f aca="false">IF(AND(AS$5+6&gt;=$B9,AS$5&lt;=$C9),1,"")</f>
        <v/>
      </c>
      <c r="AT9" s="87" t="str">
        <f aca="false">IF(AND(AT$5+6&gt;=$B9,AT$5&lt;=$C9),1,"")</f>
        <v/>
      </c>
      <c r="AU9" s="87" t="str">
        <f aca="false">IF(AND(AU$5+6&gt;=$B9,AU$5&lt;=$C9),1,"")</f>
        <v/>
      </c>
      <c r="AV9" s="87" t="str">
        <f aca="false">IF(AND(AV$5+6&gt;=$B9,AV$5&lt;=$C9),1,"")</f>
        <v/>
      </c>
      <c r="AW9" s="87" t="str">
        <f aca="false">IF(AND(AW$5+6&gt;=$B9,AW$5&lt;=$C9),1,"")</f>
        <v/>
      </c>
      <c r="AX9" s="87" t="str">
        <f aca="false">IF(AND(AX$5+6&gt;=$B9,AX$5&lt;=$C9),1,"")</f>
        <v/>
      </c>
      <c r="AY9" s="87" t="str">
        <f aca="false">IF(AND(AY$5+6&gt;=$B9,AY$5&lt;=$C9),1,"")</f>
        <v/>
      </c>
      <c r="AZ9" s="87" t="str">
        <f aca="false">IF(AND(AZ$5+6&gt;=$B9,AZ$5&lt;=$C9),1,"")</f>
        <v/>
      </c>
      <c r="BA9" s="87" t="str">
        <f aca="false">IF(AND(BA$5+6&gt;=$B9,BA$5&lt;=$C9),1,"")</f>
        <v/>
      </c>
      <c r="BB9" s="87" t="str">
        <f aca="false">IF(AND(BB$5+6&gt;=$B9,BB$5&lt;=$C9),1,"")</f>
        <v/>
      </c>
      <c r="BC9" s="87" t="str">
        <f aca="false">IF(AND(BC$5+6&gt;=$B9,BC$5&lt;=$C9),1,"")</f>
        <v/>
      </c>
      <c r="BD9" s="87" t="str">
        <f aca="false">IF(AND(BD$5+6&gt;=$B9,BD$5&lt;=$C9),1,"")</f>
        <v/>
      </c>
      <c r="BE9" s="87" t="str">
        <f aca="false">IF(AND(BE$5+6&gt;=$B9,BE$5&lt;=$C9),1,"")</f>
        <v/>
      </c>
      <c r="BF9" s="87" t="str">
        <f aca="false">IF(AND(BF$5+6&gt;=$B9,BF$5&lt;=$C9),1,"")</f>
        <v/>
      </c>
      <c r="BG9" s="87" t="str">
        <f aca="false">IF(AND(BG$5+6&gt;=$B9,BG$5&lt;=$C9),1,"")</f>
        <v/>
      </c>
      <c r="BH9" s="87" t="str">
        <f aca="false">IF(AND(BH$5+6&gt;=$B9,BH$5&lt;=$C9),1,"")</f>
        <v/>
      </c>
      <c r="BI9" s="87" t="str">
        <f aca="false">IF(AND(BI$5+6&gt;=$B9,BI$5&lt;=$C9),1,"")</f>
        <v/>
      </c>
      <c r="BJ9" s="87" t="str">
        <f aca="false">IF(AND(BJ$5+6&gt;=$B9,BJ$5&lt;=$C9),1,"")</f>
        <v/>
      </c>
      <c r="BK9" s="87" t="str">
        <f aca="false">IF(AND(BK$5+6&gt;=$B9,BK$5&lt;=$C9),1,"")</f>
        <v/>
      </c>
    </row>
    <row r="10" customFormat="false" ht="18" hidden="false" customHeight="true" outlineLevel="0" collapsed="false">
      <c r="A10" s="79" t="str">
        <f aca="false">Schedule!A8</f>
        <v>Alpha</v>
      </c>
      <c r="B10" s="86" t="n">
        <f aca="false">Schedule!C8</f>
        <v>46580</v>
      </c>
      <c r="C10" s="86" t="n">
        <f aca="false">Schedule!D8</f>
        <v>46621</v>
      </c>
      <c r="D10" s="87" t="str">
        <f aca="false">IF(AND(D$5+6&gt;=$B10,D$5&lt;=$C10),1,"")</f>
        <v/>
      </c>
      <c r="E10" s="87" t="str">
        <f aca="false">IF(AND(E$5+6&gt;=$B10,E$5&lt;=$C10),1,"")</f>
        <v/>
      </c>
      <c r="F10" s="87" t="str">
        <f aca="false">IF(AND(F$5+6&gt;=$B10,F$5&lt;=$C10),1,"")</f>
        <v/>
      </c>
      <c r="G10" s="87" t="str">
        <f aca="false">IF(AND(G$5+6&gt;=$B10,G$5&lt;=$C10),1,"")</f>
        <v/>
      </c>
      <c r="H10" s="87" t="str">
        <f aca="false">IF(AND(H$5+6&gt;=$B10,H$5&lt;=$C10),1,"")</f>
        <v/>
      </c>
      <c r="I10" s="87" t="str">
        <f aca="false">IF(AND(I$5+6&gt;=$B10,I$5&lt;=$C10),1,"")</f>
        <v/>
      </c>
      <c r="J10" s="87" t="str">
        <f aca="false">IF(AND(J$5+6&gt;=$B10,J$5&lt;=$C10),1,"")</f>
        <v/>
      </c>
      <c r="K10" s="87" t="str">
        <f aca="false">IF(AND(K$5+6&gt;=$B10,K$5&lt;=$C10),1,"")</f>
        <v/>
      </c>
      <c r="L10" s="87" t="str">
        <f aca="false">IF(AND(L$5+6&gt;=$B10,L$5&lt;=$C10),1,"")</f>
        <v/>
      </c>
      <c r="M10" s="87" t="str">
        <f aca="false">IF(AND(M$5+6&gt;=$B10,M$5&lt;=$C10),1,"")</f>
        <v/>
      </c>
      <c r="N10" s="87" t="str">
        <f aca="false">IF(AND(N$5+6&gt;=$B10,N$5&lt;=$C10),1,"")</f>
        <v/>
      </c>
      <c r="O10" s="87" t="str">
        <f aca="false">IF(AND(O$5+6&gt;=$B10,O$5&lt;=$C10),1,"")</f>
        <v/>
      </c>
      <c r="P10" s="87" t="str">
        <f aca="false">IF(AND(P$5+6&gt;=$B10,P$5&lt;=$C10),1,"")</f>
        <v/>
      </c>
      <c r="Q10" s="87" t="str">
        <f aca="false">IF(AND(Q$5+6&gt;=$B10,Q$5&lt;=$C10),1,"")</f>
        <v/>
      </c>
      <c r="R10" s="87" t="str">
        <f aca="false">IF(AND(R$5+6&gt;=$B10,R$5&lt;=$C10),1,"")</f>
        <v/>
      </c>
      <c r="S10" s="87" t="str">
        <f aca="false">IF(AND(S$5+6&gt;=$B10,S$5&lt;=$C10),1,"")</f>
        <v/>
      </c>
      <c r="T10" s="87" t="str">
        <f aca="false">IF(AND(T$5+6&gt;=$B10,T$5&lt;=$C10),1,"")</f>
        <v/>
      </c>
      <c r="U10" s="87" t="str">
        <f aca="false">IF(AND(U$5+6&gt;=$B10,U$5&lt;=$C10),1,"")</f>
        <v/>
      </c>
      <c r="V10" s="87" t="str">
        <f aca="false">IF(AND(V$5+6&gt;=$B10,V$5&lt;=$C10),1,"")</f>
        <v/>
      </c>
      <c r="W10" s="87" t="str">
        <f aca="false">IF(AND(W$5+6&gt;=$B10,W$5&lt;=$C10),1,"")</f>
        <v/>
      </c>
      <c r="X10" s="87" t="str">
        <f aca="false">IF(AND(X$5+6&gt;=$B10,X$5&lt;=$C10),1,"")</f>
        <v/>
      </c>
      <c r="Y10" s="87" t="str">
        <f aca="false">IF(AND(Y$5+6&gt;=$B10,Y$5&lt;=$C10),1,"")</f>
        <v/>
      </c>
      <c r="Z10" s="87" t="str">
        <f aca="false">IF(AND(Z$5+6&gt;=$B10,Z$5&lt;=$C10),1,"")</f>
        <v/>
      </c>
      <c r="AA10" s="87" t="str">
        <f aca="false">IF(AND(AA$5+6&gt;=$B10,AA$5&lt;=$C10),1,"")</f>
        <v/>
      </c>
      <c r="AB10" s="87" t="str">
        <f aca="false">IF(AND(AB$5+6&gt;=$B10,AB$5&lt;=$C10),1,"")</f>
        <v/>
      </c>
      <c r="AC10" s="87" t="str">
        <f aca="false">IF(AND(AC$5+6&gt;=$B10,AC$5&lt;=$C10),1,"")</f>
        <v/>
      </c>
      <c r="AD10" s="87" t="str">
        <f aca="false">IF(AND(AD$5+6&gt;=$B10,AD$5&lt;=$C10),1,"")</f>
        <v/>
      </c>
      <c r="AE10" s="87" t="str">
        <f aca="false">IF(AND(AE$5+6&gt;=$B10,AE$5&lt;=$C10),1,"")</f>
        <v/>
      </c>
      <c r="AF10" s="87" t="str">
        <f aca="false">IF(AND(AF$5+6&gt;=$B10,AF$5&lt;=$C10),1,"")</f>
        <v/>
      </c>
      <c r="AG10" s="87" t="str">
        <f aca="false">IF(AND(AG$5+6&gt;=$B10,AG$5&lt;=$C10),1,"")</f>
        <v/>
      </c>
      <c r="AH10" s="87" t="str">
        <f aca="false">IF(AND(AH$5+6&gt;=$B10,AH$5&lt;=$C10),1,"")</f>
        <v/>
      </c>
      <c r="AI10" s="87" t="str">
        <f aca="false">IF(AND(AI$5+6&gt;=$B10,AI$5&lt;=$C10),1,"")</f>
        <v/>
      </c>
      <c r="AJ10" s="87" t="str">
        <f aca="false">IF(AND(AJ$5+6&gt;=$B10,AJ$5&lt;=$C10),1,"")</f>
        <v/>
      </c>
      <c r="AK10" s="87" t="str">
        <f aca="false">IF(AND(AK$5+6&gt;=$B10,AK$5&lt;=$C10),1,"")</f>
        <v/>
      </c>
      <c r="AL10" s="87" t="str">
        <f aca="false">IF(AND(AL$5+6&gt;=$B10,AL$5&lt;=$C10),1,"")</f>
        <v/>
      </c>
      <c r="AM10" s="87" t="str">
        <f aca="false">IF(AND(AM$5+6&gt;=$B10,AM$5&lt;=$C10),1,"")</f>
        <v/>
      </c>
      <c r="AN10" s="87" t="n">
        <f aca="false">IF(AND(AN$5+6&gt;=$B10,AN$5&lt;=$C10),1,"")</f>
        <v>1</v>
      </c>
      <c r="AO10" s="87" t="n">
        <f aca="false">IF(AND(AO$5+6&gt;=$B10,AO$5&lt;=$C10),1,"")</f>
        <v>1</v>
      </c>
      <c r="AP10" s="87" t="n">
        <f aca="false">IF(AND(AP$5+6&gt;=$B10,AP$5&lt;=$C10),1,"")</f>
        <v>1</v>
      </c>
      <c r="AQ10" s="87" t="n">
        <f aca="false">IF(AND(AQ$5+6&gt;=$B10,AQ$5&lt;=$C10),1,"")</f>
        <v>1</v>
      </c>
      <c r="AR10" s="87" t="n">
        <f aca="false">IF(AND(AR$5+6&gt;=$B10,AR$5&lt;=$C10),1,"")</f>
        <v>1</v>
      </c>
      <c r="AS10" s="87" t="n">
        <f aca="false">IF(AND(AS$5+6&gt;=$B10,AS$5&lt;=$C10),1,"")</f>
        <v>1</v>
      </c>
      <c r="AT10" s="87" t="str">
        <f aca="false">IF(AND(AT$5+6&gt;=$B10,AT$5&lt;=$C10),1,"")</f>
        <v/>
      </c>
      <c r="AU10" s="87" t="str">
        <f aca="false">IF(AND(AU$5+6&gt;=$B10,AU$5&lt;=$C10),1,"")</f>
        <v/>
      </c>
      <c r="AV10" s="87" t="str">
        <f aca="false">IF(AND(AV$5+6&gt;=$B10,AV$5&lt;=$C10),1,"")</f>
        <v/>
      </c>
      <c r="AW10" s="87" t="str">
        <f aca="false">IF(AND(AW$5+6&gt;=$B10,AW$5&lt;=$C10),1,"")</f>
        <v/>
      </c>
      <c r="AX10" s="87" t="str">
        <f aca="false">IF(AND(AX$5+6&gt;=$B10,AX$5&lt;=$C10),1,"")</f>
        <v/>
      </c>
      <c r="AY10" s="87" t="str">
        <f aca="false">IF(AND(AY$5+6&gt;=$B10,AY$5&lt;=$C10),1,"")</f>
        <v/>
      </c>
      <c r="AZ10" s="87" t="str">
        <f aca="false">IF(AND(AZ$5+6&gt;=$B10,AZ$5&lt;=$C10),1,"")</f>
        <v/>
      </c>
      <c r="BA10" s="87" t="str">
        <f aca="false">IF(AND(BA$5+6&gt;=$B10,BA$5&lt;=$C10),1,"")</f>
        <v/>
      </c>
      <c r="BB10" s="87" t="str">
        <f aca="false">IF(AND(BB$5+6&gt;=$B10,BB$5&lt;=$C10),1,"")</f>
        <v/>
      </c>
      <c r="BC10" s="87" t="str">
        <f aca="false">IF(AND(BC$5+6&gt;=$B10,BC$5&lt;=$C10),1,"")</f>
        <v/>
      </c>
      <c r="BD10" s="87" t="str">
        <f aca="false">IF(AND(BD$5+6&gt;=$B10,BD$5&lt;=$C10),1,"")</f>
        <v/>
      </c>
      <c r="BE10" s="87" t="str">
        <f aca="false">IF(AND(BE$5+6&gt;=$B10,BE$5&lt;=$C10),1,"")</f>
        <v/>
      </c>
      <c r="BF10" s="87" t="str">
        <f aca="false">IF(AND(BF$5+6&gt;=$B10,BF$5&lt;=$C10),1,"")</f>
        <v/>
      </c>
      <c r="BG10" s="87" t="str">
        <f aca="false">IF(AND(BG$5+6&gt;=$B10,BG$5&lt;=$C10),1,"")</f>
        <v/>
      </c>
      <c r="BH10" s="87" t="str">
        <f aca="false">IF(AND(BH$5+6&gt;=$B10,BH$5&lt;=$C10),1,"")</f>
        <v/>
      </c>
      <c r="BI10" s="87" t="str">
        <f aca="false">IF(AND(BI$5+6&gt;=$B10,BI$5&lt;=$C10),1,"")</f>
        <v/>
      </c>
      <c r="BJ10" s="87" t="str">
        <f aca="false">IF(AND(BJ$5+6&gt;=$B10,BJ$5&lt;=$C10),1,"")</f>
        <v/>
      </c>
      <c r="BK10" s="87" t="str">
        <f aca="false">IF(AND(BK$5+6&gt;=$B10,BK$5&lt;=$C10),1,"")</f>
        <v/>
      </c>
    </row>
    <row r="11" customFormat="false" ht="18" hidden="false" customHeight="true" outlineLevel="0" collapsed="false">
      <c r="A11" s="79" t="str">
        <f aca="false">Schedule!A9</f>
        <v>Beta</v>
      </c>
      <c r="B11" s="86" t="n">
        <f aca="false">Schedule!C9</f>
        <v>46622</v>
      </c>
      <c r="C11" s="86" t="n">
        <f aca="false">Schedule!D9</f>
        <v>46663</v>
      </c>
      <c r="D11" s="87" t="str">
        <f aca="false">IF(AND(D$5+6&gt;=$B11,D$5&lt;=$C11),1,"")</f>
        <v/>
      </c>
      <c r="E11" s="87" t="str">
        <f aca="false">IF(AND(E$5+6&gt;=$B11,E$5&lt;=$C11),1,"")</f>
        <v/>
      </c>
      <c r="F11" s="87" t="str">
        <f aca="false">IF(AND(F$5+6&gt;=$B11,F$5&lt;=$C11),1,"")</f>
        <v/>
      </c>
      <c r="G11" s="87" t="str">
        <f aca="false">IF(AND(G$5+6&gt;=$B11,G$5&lt;=$C11),1,"")</f>
        <v/>
      </c>
      <c r="H11" s="87" t="str">
        <f aca="false">IF(AND(H$5+6&gt;=$B11,H$5&lt;=$C11),1,"")</f>
        <v/>
      </c>
      <c r="I11" s="87" t="str">
        <f aca="false">IF(AND(I$5+6&gt;=$B11,I$5&lt;=$C11),1,"")</f>
        <v/>
      </c>
      <c r="J11" s="87" t="str">
        <f aca="false">IF(AND(J$5+6&gt;=$B11,J$5&lt;=$C11),1,"")</f>
        <v/>
      </c>
      <c r="K11" s="87" t="str">
        <f aca="false">IF(AND(K$5+6&gt;=$B11,K$5&lt;=$C11),1,"")</f>
        <v/>
      </c>
      <c r="L11" s="87" t="str">
        <f aca="false">IF(AND(L$5+6&gt;=$B11,L$5&lt;=$C11),1,"")</f>
        <v/>
      </c>
      <c r="M11" s="87" t="str">
        <f aca="false">IF(AND(M$5+6&gt;=$B11,M$5&lt;=$C11),1,"")</f>
        <v/>
      </c>
      <c r="N11" s="87" t="str">
        <f aca="false">IF(AND(N$5+6&gt;=$B11,N$5&lt;=$C11),1,"")</f>
        <v/>
      </c>
      <c r="O11" s="87" t="str">
        <f aca="false">IF(AND(O$5+6&gt;=$B11,O$5&lt;=$C11),1,"")</f>
        <v/>
      </c>
      <c r="P11" s="87" t="str">
        <f aca="false">IF(AND(P$5+6&gt;=$B11,P$5&lt;=$C11),1,"")</f>
        <v/>
      </c>
      <c r="Q11" s="87" t="str">
        <f aca="false">IF(AND(Q$5+6&gt;=$B11,Q$5&lt;=$C11),1,"")</f>
        <v/>
      </c>
      <c r="R11" s="87" t="str">
        <f aca="false">IF(AND(R$5+6&gt;=$B11,R$5&lt;=$C11),1,"")</f>
        <v/>
      </c>
      <c r="S11" s="87" t="str">
        <f aca="false">IF(AND(S$5+6&gt;=$B11,S$5&lt;=$C11),1,"")</f>
        <v/>
      </c>
      <c r="T11" s="87" t="str">
        <f aca="false">IF(AND(T$5+6&gt;=$B11,T$5&lt;=$C11),1,"")</f>
        <v/>
      </c>
      <c r="U11" s="87" t="str">
        <f aca="false">IF(AND(U$5+6&gt;=$B11,U$5&lt;=$C11),1,"")</f>
        <v/>
      </c>
      <c r="V11" s="87" t="str">
        <f aca="false">IF(AND(V$5+6&gt;=$B11,V$5&lt;=$C11),1,"")</f>
        <v/>
      </c>
      <c r="W11" s="87" t="str">
        <f aca="false">IF(AND(W$5+6&gt;=$B11,W$5&lt;=$C11),1,"")</f>
        <v/>
      </c>
      <c r="X11" s="87" t="str">
        <f aca="false">IF(AND(X$5+6&gt;=$B11,X$5&lt;=$C11),1,"")</f>
        <v/>
      </c>
      <c r="Y11" s="87" t="str">
        <f aca="false">IF(AND(Y$5+6&gt;=$B11,Y$5&lt;=$C11),1,"")</f>
        <v/>
      </c>
      <c r="Z11" s="87" t="str">
        <f aca="false">IF(AND(Z$5+6&gt;=$B11,Z$5&lt;=$C11),1,"")</f>
        <v/>
      </c>
      <c r="AA11" s="87" t="str">
        <f aca="false">IF(AND(AA$5+6&gt;=$B11,AA$5&lt;=$C11),1,"")</f>
        <v/>
      </c>
      <c r="AB11" s="87" t="str">
        <f aca="false">IF(AND(AB$5+6&gt;=$B11,AB$5&lt;=$C11),1,"")</f>
        <v/>
      </c>
      <c r="AC11" s="87" t="str">
        <f aca="false">IF(AND(AC$5+6&gt;=$B11,AC$5&lt;=$C11),1,"")</f>
        <v/>
      </c>
      <c r="AD11" s="87" t="str">
        <f aca="false">IF(AND(AD$5+6&gt;=$B11,AD$5&lt;=$C11),1,"")</f>
        <v/>
      </c>
      <c r="AE11" s="87" t="str">
        <f aca="false">IF(AND(AE$5+6&gt;=$B11,AE$5&lt;=$C11),1,"")</f>
        <v/>
      </c>
      <c r="AF11" s="87" t="str">
        <f aca="false">IF(AND(AF$5+6&gt;=$B11,AF$5&lt;=$C11),1,"")</f>
        <v/>
      </c>
      <c r="AG11" s="87" t="str">
        <f aca="false">IF(AND(AG$5+6&gt;=$B11,AG$5&lt;=$C11),1,"")</f>
        <v/>
      </c>
      <c r="AH11" s="87" t="str">
        <f aca="false">IF(AND(AH$5+6&gt;=$B11,AH$5&lt;=$C11),1,"")</f>
        <v/>
      </c>
      <c r="AI11" s="87" t="str">
        <f aca="false">IF(AND(AI$5+6&gt;=$B11,AI$5&lt;=$C11),1,"")</f>
        <v/>
      </c>
      <c r="AJ11" s="87" t="str">
        <f aca="false">IF(AND(AJ$5+6&gt;=$B11,AJ$5&lt;=$C11),1,"")</f>
        <v/>
      </c>
      <c r="AK11" s="87" t="str">
        <f aca="false">IF(AND(AK$5+6&gt;=$B11,AK$5&lt;=$C11),1,"")</f>
        <v/>
      </c>
      <c r="AL11" s="87" t="str">
        <f aca="false">IF(AND(AL$5+6&gt;=$B11,AL$5&lt;=$C11),1,"")</f>
        <v/>
      </c>
      <c r="AM11" s="87" t="str">
        <f aca="false">IF(AND(AM$5+6&gt;=$B11,AM$5&lt;=$C11),1,"")</f>
        <v/>
      </c>
      <c r="AN11" s="87" t="str">
        <f aca="false">IF(AND(AN$5+6&gt;=$B11,AN$5&lt;=$C11),1,"")</f>
        <v/>
      </c>
      <c r="AO11" s="87" t="str">
        <f aca="false">IF(AND(AO$5+6&gt;=$B11,AO$5&lt;=$C11),1,"")</f>
        <v/>
      </c>
      <c r="AP11" s="87" t="str">
        <f aca="false">IF(AND(AP$5+6&gt;=$B11,AP$5&lt;=$C11),1,"")</f>
        <v/>
      </c>
      <c r="AQ11" s="87" t="str">
        <f aca="false">IF(AND(AQ$5+6&gt;=$B11,AQ$5&lt;=$C11),1,"")</f>
        <v/>
      </c>
      <c r="AR11" s="87" t="str">
        <f aca="false">IF(AND(AR$5+6&gt;=$B11,AR$5&lt;=$C11),1,"")</f>
        <v/>
      </c>
      <c r="AS11" s="87" t="str">
        <f aca="false">IF(AND(AS$5+6&gt;=$B11,AS$5&lt;=$C11),1,"")</f>
        <v/>
      </c>
      <c r="AT11" s="87" t="n">
        <f aca="false">IF(AND(AT$5+6&gt;=$B11,AT$5&lt;=$C11),1,"")</f>
        <v>1</v>
      </c>
      <c r="AU11" s="87" t="n">
        <f aca="false">IF(AND(AU$5+6&gt;=$B11,AU$5&lt;=$C11),1,"")</f>
        <v>1</v>
      </c>
      <c r="AV11" s="87" t="n">
        <f aca="false">IF(AND(AV$5+6&gt;=$B11,AV$5&lt;=$C11),1,"")</f>
        <v>1</v>
      </c>
      <c r="AW11" s="87" t="n">
        <f aca="false">IF(AND(AW$5+6&gt;=$B11,AW$5&lt;=$C11),1,"")</f>
        <v>1</v>
      </c>
      <c r="AX11" s="87" t="n">
        <f aca="false">IF(AND(AX$5+6&gt;=$B11,AX$5&lt;=$C11),1,"")</f>
        <v>1</v>
      </c>
      <c r="AY11" s="87" t="n">
        <f aca="false">IF(AND(AY$5+6&gt;=$B11,AY$5&lt;=$C11),1,"")</f>
        <v>1</v>
      </c>
      <c r="AZ11" s="87" t="str">
        <f aca="false">IF(AND(AZ$5+6&gt;=$B11,AZ$5&lt;=$C11),1,"")</f>
        <v/>
      </c>
      <c r="BA11" s="87" t="str">
        <f aca="false">IF(AND(BA$5+6&gt;=$B11,BA$5&lt;=$C11),1,"")</f>
        <v/>
      </c>
      <c r="BB11" s="87" t="str">
        <f aca="false">IF(AND(BB$5+6&gt;=$B11,BB$5&lt;=$C11),1,"")</f>
        <v/>
      </c>
      <c r="BC11" s="87" t="str">
        <f aca="false">IF(AND(BC$5+6&gt;=$B11,BC$5&lt;=$C11),1,"")</f>
        <v/>
      </c>
      <c r="BD11" s="87" t="str">
        <f aca="false">IF(AND(BD$5+6&gt;=$B11,BD$5&lt;=$C11),1,"")</f>
        <v/>
      </c>
      <c r="BE11" s="87" t="str">
        <f aca="false">IF(AND(BE$5+6&gt;=$B11,BE$5&lt;=$C11),1,"")</f>
        <v/>
      </c>
      <c r="BF11" s="87" t="str">
        <f aca="false">IF(AND(BF$5+6&gt;=$B11,BF$5&lt;=$C11),1,"")</f>
        <v/>
      </c>
      <c r="BG11" s="87" t="str">
        <f aca="false">IF(AND(BG$5+6&gt;=$B11,BG$5&lt;=$C11),1,"")</f>
        <v/>
      </c>
      <c r="BH11" s="87" t="str">
        <f aca="false">IF(AND(BH$5+6&gt;=$B11,BH$5&lt;=$C11),1,"")</f>
        <v/>
      </c>
      <c r="BI11" s="87" t="str">
        <f aca="false">IF(AND(BI$5+6&gt;=$B11,BI$5&lt;=$C11),1,"")</f>
        <v/>
      </c>
      <c r="BJ11" s="87" t="str">
        <f aca="false">IF(AND(BJ$5+6&gt;=$B11,BJ$5&lt;=$C11),1,"")</f>
        <v/>
      </c>
      <c r="BK11" s="87" t="str">
        <f aca="false">IF(AND(BK$5+6&gt;=$B11,BK$5&lt;=$C11),1,"")</f>
        <v/>
      </c>
    </row>
    <row r="12" customFormat="false" ht="18" hidden="false" customHeight="true" outlineLevel="0" collapsed="false">
      <c r="A12" s="79" t="str">
        <f aca="false">Schedule!A10</f>
        <v>Polish and ship</v>
      </c>
      <c r="B12" s="86" t="n">
        <f aca="false">Schedule!C10</f>
        <v>46664</v>
      </c>
      <c r="C12" s="86" t="n">
        <f aca="false">Schedule!D10</f>
        <v>46691</v>
      </c>
      <c r="D12" s="87" t="str">
        <f aca="false">IF(AND(D$5+6&gt;=$B12,D$5&lt;=$C12),1,"")</f>
        <v/>
      </c>
      <c r="E12" s="87" t="str">
        <f aca="false">IF(AND(E$5+6&gt;=$B12,E$5&lt;=$C12),1,"")</f>
        <v/>
      </c>
      <c r="F12" s="87" t="str">
        <f aca="false">IF(AND(F$5+6&gt;=$B12,F$5&lt;=$C12),1,"")</f>
        <v/>
      </c>
      <c r="G12" s="87" t="str">
        <f aca="false">IF(AND(G$5+6&gt;=$B12,G$5&lt;=$C12),1,"")</f>
        <v/>
      </c>
      <c r="H12" s="87" t="str">
        <f aca="false">IF(AND(H$5+6&gt;=$B12,H$5&lt;=$C12),1,"")</f>
        <v/>
      </c>
      <c r="I12" s="87" t="str">
        <f aca="false">IF(AND(I$5+6&gt;=$B12,I$5&lt;=$C12),1,"")</f>
        <v/>
      </c>
      <c r="J12" s="87" t="str">
        <f aca="false">IF(AND(J$5+6&gt;=$B12,J$5&lt;=$C12),1,"")</f>
        <v/>
      </c>
      <c r="K12" s="87" t="str">
        <f aca="false">IF(AND(K$5+6&gt;=$B12,K$5&lt;=$C12),1,"")</f>
        <v/>
      </c>
      <c r="L12" s="87" t="str">
        <f aca="false">IF(AND(L$5+6&gt;=$B12,L$5&lt;=$C12),1,"")</f>
        <v/>
      </c>
      <c r="M12" s="87" t="str">
        <f aca="false">IF(AND(M$5+6&gt;=$B12,M$5&lt;=$C12),1,"")</f>
        <v/>
      </c>
      <c r="N12" s="87" t="str">
        <f aca="false">IF(AND(N$5+6&gt;=$B12,N$5&lt;=$C12),1,"")</f>
        <v/>
      </c>
      <c r="O12" s="87" t="str">
        <f aca="false">IF(AND(O$5+6&gt;=$B12,O$5&lt;=$C12),1,"")</f>
        <v/>
      </c>
      <c r="P12" s="87" t="str">
        <f aca="false">IF(AND(P$5+6&gt;=$B12,P$5&lt;=$C12),1,"")</f>
        <v/>
      </c>
      <c r="Q12" s="87" t="str">
        <f aca="false">IF(AND(Q$5+6&gt;=$B12,Q$5&lt;=$C12),1,"")</f>
        <v/>
      </c>
      <c r="R12" s="87" t="str">
        <f aca="false">IF(AND(R$5+6&gt;=$B12,R$5&lt;=$C12),1,"")</f>
        <v/>
      </c>
      <c r="S12" s="87" t="str">
        <f aca="false">IF(AND(S$5+6&gt;=$B12,S$5&lt;=$C12),1,"")</f>
        <v/>
      </c>
      <c r="T12" s="87" t="str">
        <f aca="false">IF(AND(T$5+6&gt;=$B12,T$5&lt;=$C12),1,"")</f>
        <v/>
      </c>
      <c r="U12" s="87" t="str">
        <f aca="false">IF(AND(U$5+6&gt;=$B12,U$5&lt;=$C12),1,"")</f>
        <v/>
      </c>
      <c r="V12" s="87" t="str">
        <f aca="false">IF(AND(V$5+6&gt;=$B12,V$5&lt;=$C12),1,"")</f>
        <v/>
      </c>
      <c r="W12" s="87" t="str">
        <f aca="false">IF(AND(W$5+6&gt;=$B12,W$5&lt;=$C12),1,"")</f>
        <v/>
      </c>
      <c r="X12" s="87" t="str">
        <f aca="false">IF(AND(X$5+6&gt;=$B12,X$5&lt;=$C12),1,"")</f>
        <v/>
      </c>
      <c r="Y12" s="87" t="str">
        <f aca="false">IF(AND(Y$5+6&gt;=$B12,Y$5&lt;=$C12),1,"")</f>
        <v/>
      </c>
      <c r="Z12" s="87" t="str">
        <f aca="false">IF(AND(Z$5+6&gt;=$B12,Z$5&lt;=$C12),1,"")</f>
        <v/>
      </c>
      <c r="AA12" s="87" t="str">
        <f aca="false">IF(AND(AA$5+6&gt;=$B12,AA$5&lt;=$C12),1,"")</f>
        <v/>
      </c>
      <c r="AB12" s="87" t="str">
        <f aca="false">IF(AND(AB$5+6&gt;=$B12,AB$5&lt;=$C12),1,"")</f>
        <v/>
      </c>
      <c r="AC12" s="87" t="str">
        <f aca="false">IF(AND(AC$5+6&gt;=$B12,AC$5&lt;=$C12),1,"")</f>
        <v/>
      </c>
      <c r="AD12" s="87" t="str">
        <f aca="false">IF(AND(AD$5+6&gt;=$B12,AD$5&lt;=$C12),1,"")</f>
        <v/>
      </c>
      <c r="AE12" s="87" t="str">
        <f aca="false">IF(AND(AE$5+6&gt;=$B12,AE$5&lt;=$C12),1,"")</f>
        <v/>
      </c>
      <c r="AF12" s="87" t="str">
        <f aca="false">IF(AND(AF$5+6&gt;=$B12,AF$5&lt;=$C12),1,"")</f>
        <v/>
      </c>
      <c r="AG12" s="87" t="str">
        <f aca="false">IF(AND(AG$5+6&gt;=$B12,AG$5&lt;=$C12),1,"")</f>
        <v/>
      </c>
      <c r="AH12" s="87" t="str">
        <f aca="false">IF(AND(AH$5+6&gt;=$B12,AH$5&lt;=$C12),1,"")</f>
        <v/>
      </c>
      <c r="AI12" s="87" t="str">
        <f aca="false">IF(AND(AI$5+6&gt;=$B12,AI$5&lt;=$C12),1,"")</f>
        <v/>
      </c>
      <c r="AJ12" s="87" t="str">
        <f aca="false">IF(AND(AJ$5+6&gt;=$B12,AJ$5&lt;=$C12),1,"")</f>
        <v/>
      </c>
      <c r="AK12" s="87" t="str">
        <f aca="false">IF(AND(AK$5+6&gt;=$B12,AK$5&lt;=$C12),1,"")</f>
        <v/>
      </c>
      <c r="AL12" s="87" t="str">
        <f aca="false">IF(AND(AL$5+6&gt;=$B12,AL$5&lt;=$C12),1,"")</f>
        <v/>
      </c>
      <c r="AM12" s="87" t="str">
        <f aca="false">IF(AND(AM$5+6&gt;=$B12,AM$5&lt;=$C12),1,"")</f>
        <v/>
      </c>
      <c r="AN12" s="87" t="str">
        <f aca="false">IF(AND(AN$5+6&gt;=$B12,AN$5&lt;=$C12),1,"")</f>
        <v/>
      </c>
      <c r="AO12" s="87" t="str">
        <f aca="false">IF(AND(AO$5+6&gt;=$B12,AO$5&lt;=$C12),1,"")</f>
        <v/>
      </c>
      <c r="AP12" s="87" t="str">
        <f aca="false">IF(AND(AP$5+6&gt;=$B12,AP$5&lt;=$C12),1,"")</f>
        <v/>
      </c>
      <c r="AQ12" s="87" t="str">
        <f aca="false">IF(AND(AQ$5+6&gt;=$B12,AQ$5&lt;=$C12),1,"")</f>
        <v/>
      </c>
      <c r="AR12" s="87" t="str">
        <f aca="false">IF(AND(AR$5+6&gt;=$B12,AR$5&lt;=$C12),1,"")</f>
        <v/>
      </c>
      <c r="AS12" s="87" t="str">
        <f aca="false">IF(AND(AS$5+6&gt;=$B12,AS$5&lt;=$C12),1,"")</f>
        <v/>
      </c>
      <c r="AT12" s="87" t="str">
        <f aca="false">IF(AND(AT$5+6&gt;=$B12,AT$5&lt;=$C12),1,"")</f>
        <v/>
      </c>
      <c r="AU12" s="87" t="str">
        <f aca="false">IF(AND(AU$5+6&gt;=$B12,AU$5&lt;=$C12),1,"")</f>
        <v/>
      </c>
      <c r="AV12" s="87" t="str">
        <f aca="false">IF(AND(AV$5+6&gt;=$B12,AV$5&lt;=$C12),1,"")</f>
        <v/>
      </c>
      <c r="AW12" s="87" t="str">
        <f aca="false">IF(AND(AW$5+6&gt;=$B12,AW$5&lt;=$C12),1,"")</f>
        <v/>
      </c>
      <c r="AX12" s="87" t="str">
        <f aca="false">IF(AND(AX$5+6&gt;=$B12,AX$5&lt;=$C12),1,"")</f>
        <v/>
      </c>
      <c r="AY12" s="87" t="str">
        <f aca="false">IF(AND(AY$5+6&gt;=$B12,AY$5&lt;=$C12),1,"")</f>
        <v/>
      </c>
      <c r="AZ12" s="87" t="n">
        <f aca="false">IF(AND(AZ$5+6&gt;=$B12,AZ$5&lt;=$C12),1,"")</f>
        <v>1</v>
      </c>
      <c r="BA12" s="87" t="n">
        <f aca="false">IF(AND(BA$5+6&gt;=$B12,BA$5&lt;=$C12),1,"")</f>
        <v>1</v>
      </c>
      <c r="BB12" s="87" t="n">
        <f aca="false">IF(AND(BB$5+6&gt;=$B12,BB$5&lt;=$C12),1,"")</f>
        <v>1</v>
      </c>
      <c r="BC12" s="87" t="n">
        <f aca="false">IF(AND(BC$5+6&gt;=$B12,BC$5&lt;=$C12),1,"")</f>
        <v>1</v>
      </c>
      <c r="BD12" s="87" t="str">
        <f aca="false">IF(AND(BD$5+6&gt;=$B12,BD$5&lt;=$C12),1,"")</f>
        <v/>
      </c>
      <c r="BE12" s="87" t="str">
        <f aca="false">IF(AND(BE$5+6&gt;=$B12,BE$5&lt;=$C12),1,"")</f>
        <v/>
      </c>
      <c r="BF12" s="87" t="str">
        <f aca="false">IF(AND(BF$5+6&gt;=$B12,BF$5&lt;=$C12),1,"")</f>
        <v/>
      </c>
      <c r="BG12" s="87" t="str">
        <f aca="false">IF(AND(BG$5+6&gt;=$B12,BG$5&lt;=$C12),1,"")</f>
        <v/>
      </c>
      <c r="BH12" s="87" t="str">
        <f aca="false">IF(AND(BH$5+6&gt;=$B12,BH$5&lt;=$C12),1,"")</f>
        <v/>
      </c>
      <c r="BI12" s="87" t="str">
        <f aca="false">IF(AND(BI$5+6&gt;=$B12,BI$5&lt;=$C12),1,"")</f>
        <v/>
      </c>
      <c r="BJ12" s="87" t="str">
        <f aca="false">IF(AND(BJ$5+6&gt;=$B12,BJ$5&lt;=$C12),1,"")</f>
        <v/>
      </c>
      <c r="BK12" s="87" t="str">
        <f aca="false">IF(AND(BK$5+6&gt;=$B12,BK$5&lt;=$C12),1,"")</f>
        <v/>
      </c>
    </row>
    <row r="13" customFormat="false" ht="15" hidden="false" customHeight="true" outlineLevel="0" collapsed="false">
      <c r="A13" s="4" t="s">
        <v>947</v>
      </c>
      <c r="B13" s="4"/>
      <c r="C13" s="4"/>
      <c r="D13" s="88" t="str">
        <f aca="false">IF(SUMPRODUCT((Milestones!$B$5:$B$10&gt;=D$5)*(Milestones!$B$5:$B$10&lt;=D$5+6))&gt;0,"◆","")</f>
        <v/>
      </c>
      <c r="E13" s="88" t="str">
        <f aca="false">IF(SUMPRODUCT((Milestones!$B$5:$B$10&gt;=E$5)*(Milestones!$B$5:$B$10&lt;=E$5+6))&gt;0,"◆","")</f>
        <v/>
      </c>
      <c r="F13" s="88" t="str">
        <f aca="false">IF(SUMPRODUCT((Milestones!$B$5:$B$10&gt;=F$5)*(Milestones!$B$5:$B$10&lt;=F$5+6))&gt;0,"◆","")</f>
        <v/>
      </c>
      <c r="G13" s="88" t="str">
        <f aca="false">IF(SUMPRODUCT((Milestones!$B$5:$B$10&gt;=G$5)*(Milestones!$B$5:$B$10&lt;=G$5+6))&gt;0,"◆","")</f>
        <v/>
      </c>
      <c r="H13" s="88" t="str">
        <f aca="false">IF(SUMPRODUCT((Milestones!$B$5:$B$10&gt;=H$5)*(Milestones!$B$5:$B$10&lt;=H$5+6))&gt;0,"◆","")</f>
        <v/>
      </c>
      <c r="I13" s="88" t="str">
        <f aca="false">IF(SUMPRODUCT((Milestones!$B$5:$B$10&gt;=I$5)*(Milestones!$B$5:$B$10&lt;=I$5+6))&gt;0,"◆","")</f>
        <v/>
      </c>
      <c r="J13" s="88" t="str">
        <f aca="false">IF(SUMPRODUCT((Milestones!$B$5:$B$10&gt;=J$5)*(Milestones!$B$5:$B$10&lt;=J$5+6))&gt;0,"◆","")</f>
        <v/>
      </c>
      <c r="K13" s="88" t="str">
        <f aca="false">IF(SUMPRODUCT((Milestones!$B$5:$B$10&gt;=K$5)*(Milestones!$B$5:$B$10&lt;=K$5+6))&gt;0,"◆","")</f>
        <v>◆</v>
      </c>
      <c r="L13" s="88" t="str">
        <f aca="false">IF(SUMPRODUCT((Milestones!$B$5:$B$10&gt;=L$5)*(Milestones!$B$5:$B$10&lt;=L$5+6))&gt;0,"◆","")</f>
        <v/>
      </c>
      <c r="M13" s="88" t="str">
        <f aca="false">IF(SUMPRODUCT((Milestones!$B$5:$B$10&gt;=M$5)*(Milestones!$B$5:$B$10&lt;=M$5+6))&gt;0,"◆","")</f>
        <v/>
      </c>
      <c r="N13" s="88" t="str">
        <f aca="false">IF(SUMPRODUCT((Milestones!$B$5:$B$10&gt;=N$5)*(Milestones!$B$5:$B$10&lt;=N$5+6))&gt;0,"◆","")</f>
        <v/>
      </c>
      <c r="O13" s="88" t="str">
        <f aca="false">IF(SUMPRODUCT((Milestones!$B$5:$B$10&gt;=O$5)*(Milestones!$B$5:$B$10&lt;=O$5+6))&gt;0,"◆","")</f>
        <v/>
      </c>
      <c r="P13" s="88" t="str">
        <f aca="false">IF(SUMPRODUCT((Milestones!$B$5:$B$10&gt;=P$5)*(Milestones!$B$5:$B$10&lt;=P$5+6))&gt;0,"◆","")</f>
        <v/>
      </c>
      <c r="Q13" s="88" t="str">
        <f aca="false">IF(SUMPRODUCT((Milestones!$B$5:$B$10&gt;=Q$5)*(Milestones!$B$5:$B$10&lt;=Q$5+6))&gt;0,"◆","")</f>
        <v/>
      </c>
      <c r="R13" s="88" t="str">
        <f aca="false">IF(SUMPRODUCT((Milestones!$B$5:$B$10&gt;=R$5)*(Milestones!$B$5:$B$10&lt;=R$5+6))&gt;0,"◆","")</f>
        <v/>
      </c>
      <c r="S13" s="88" t="str">
        <f aca="false">IF(SUMPRODUCT((Milestones!$B$5:$B$10&gt;=S$5)*(Milestones!$B$5:$B$10&lt;=S$5+6))&gt;0,"◆","")</f>
        <v/>
      </c>
      <c r="T13" s="88" t="str">
        <f aca="false">IF(SUMPRODUCT((Milestones!$B$5:$B$10&gt;=T$5)*(Milestones!$B$5:$B$10&lt;=T$5+6))&gt;0,"◆","")</f>
        <v/>
      </c>
      <c r="U13" s="88" t="str">
        <f aca="false">IF(SUMPRODUCT((Milestones!$B$5:$B$10&gt;=U$5)*(Milestones!$B$5:$B$10&lt;=U$5+6))&gt;0,"◆","")</f>
        <v>◆</v>
      </c>
      <c r="V13" s="88" t="str">
        <f aca="false">IF(SUMPRODUCT((Milestones!$B$5:$B$10&gt;=V$5)*(Milestones!$B$5:$B$10&lt;=V$5+6))&gt;0,"◆","")</f>
        <v/>
      </c>
      <c r="W13" s="88" t="str">
        <f aca="false">IF(SUMPRODUCT((Milestones!$B$5:$B$10&gt;=W$5)*(Milestones!$B$5:$B$10&lt;=W$5+6))&gt;0,"◆","")</f>
        <v/>
      </c>
      <c r="X13" s="88" t="str">
        <f aca="false">IF(SUMPRODUCT((Milestones!$B$5:$B$10&gt;=X$5)*(Milestones!$B$5:$B$10&lt;=X$5+6))&gt;0,"◆","")</f>
        <v/>
      </c>
      <c r="Y13" s="88" t="str">
        <f aca="false">IF(SUMPRODUCT((Milestones!$B$5:$B$10&gt;=Y$5)*(Milestones!$B$5:$B$10&lt;=Y$5+6))&gt;0,"◆","")</f>
        <v/>
      </c>
      <c r="Z13" s="88" t="str">
        <f aca="false">IF(SUMPRODUCT((Milestones!$B$5:$B$10&gt;=Z$5)*(Milestones!$B$5:$B$10&lt;=Z$5+6))&gt;0,"◆","")</f>
        <v/>
      </c>
      <c r="AA13" s="88" t="str">
        <f aca="false">IF(SUMPRODUCT((Milestones!$B$5:$B$10&gt;=AA$5)*(Milestones!$B$5:$B$10&lt;=AA$5+6))&gt;0,"◆","")</f>
        <v/>
      </c>
      <c r="AB13" s="88" t="str">
        <f aca="false">IF(SUMPRODUCT((Milestones!$B$5:$B$10&gt;=AB$5)*(Milestones!$B$5:$B$10&lt;=AB$5+6))&gt;0,"◆","")</f>
        <v/>
      </c>
      <c r="AC13" s="88" t="str">
        <f aca="false">IF(SUMPRODUCT((Milestones!$B$5:$B$10&gt;=AC$5)*(Milestones!$B$5:$B$10&lt;=AC$5+6))&gt;0,"◆","")</f>
        <v/>
      </c>
      <c r="AD13" s="88" t="str">
        <f aca="false">IF(SUMPRODUCT((Milestones!$B$5:$B$10&gt;=AD$5)*(Milestones!$B$5:$B$10&lt;=AD$5+6))&gt;0,"◆","")</f>
        <v/>
      </c>
      <c r="AE13" s="88" t="str">
        <f aca="false">IF(SUMPRODUCT((Milestones!$B$5:$B$10&gt;=AE$5)*(Milestones!$B$5:$B$10&lt;=AE$5+6))&gt;0,"◆","")</f>
        <v/>
      </c>
      <c r="AF13" s="88" t="str">
        <f aca="false">IF(SUMPRODUCT((Milestones!$B$5:$B$10&gt;=AF$5)*(Milestones!$B$5:$B$10&lt;=AF$5+6))&gt;0,"◆","")</f>
        <v/>
      </c>
      <c r="AG13" s="88" t="str">
        <f aca="false">IF(SUMPRODUCT((Milestones!$B$5:$B$10&gt;=AG$5)*(Milestones!$B$5:$B$10&lt;=AG$5+6))&gt;0,"◆","")</f>
        <v/>
      </c>
      <c r="AH13" s="88" t="str">
        <f aca="false">IF(SUMPRODUCT((Milestones!$B$5:$B$10&gt;=AH$5)*(Milestones!$B$5:$B$10&lt;=AH$5+6))&gt;0,"◆","")</f>
        <v/>
      </c>
      <c r="AI13" s="88" t="str">
        <f aca="false">IF(SUMPRODUCT((Milestones!$B$5:$B$10&gt;=AI$5)*(Milestones!$B$5:$B$10&lt;=AI$5+6))&gt;0,"◆","")</f>
        <v/>
      </c>
      <c r="AJ13" s="88" t="str">
        <f aca="false">IF(SUMPRODUCT((Milestones!$B$5:$B$10&gt;=AJ$5)*(Milestones!$B$5:$B$10&lt;=AJ$5+6))&gt;0,"◆","")</f>
        <v/>
      </c>
      <c r="AK13" s="88" t="str">
        <f aca="false">IF(SUMPRODUCT((Milestones!$B$5:$B$10&gt;=AK$5)*(Milestones!$B$5:$B$10&lt;=AK$5+6))&gt;0,"◆","")</f>
        <v/>
      </c>
      <c r="AL13" s="88" t="str">
        <f aca="false">IF(SUMPRODUCT((Milestones!$B$5:$B$10&gt;=AL$5)*(Milestones!$B$5:$B$10&lt;=AL$5+6))&gt;0,"◆","")</f>
        <v/>
      </c>
      <c r="AM13" s="88" t="str">
        <f aca="false">IF(SUMPRODUCT((Milestones!$B$5:$B$10&gt;=AM$5)*(Milestones!$B$5:$B$10&lt;=AM$5+6))&gt;0,"◆","")</f>
        <v>◆</v>
      </c>
      <c r="AN13" s="88" t="str">
        <f aca="false">IF(SUMPRODUCT((Milestones!$B$5:$B$10&gt;=AN$5)*(Milestones!$B$5:$B$10&lt;=AN$5+6))&gt;0,"◆","")</f>
        <v/>
      </c>
      <c r="AO13" s="88" t="str">
        <f aca="false">IF(SUMPRODUCT((Milestones!$B$5:$B$10&gt;=AO$5)*(Milestones!$B$5:$B$10&lt;=AO$5+6))&gt;0,"◆","")</f>
        <v/>
      </c>
      <c r="AP13" s="88" t="str">
        <f aca="false">IF(SUMPRODUCT((Milestones!$B$5:$B$10&gt;=AP$5)*(Milestones!$B$5:$B$10&lt;=AP$5+6))&gt;0,"◆","")</f>
        <v/>
      </c>
      <c r="AQ13" s="88" t="str">
        <f aca="false">IF(SUMPRODUCT((Milestones!$B$5:$B$10&gt;=AQ$5)*(Milestones!$B$5:$B$10&lt;=AQ$5+6))&gt;0,"◆","")</f>
        <v/>
      </c>
      <c r="AR13" s="88" t="str">
        <f aca="false">IF(SUMPRODUCT((Milestones!$B$5:$B$10&gt;=AR$5)*(Milestones!$B$5:$B$10&lt;=AR$5+6))&gt;0,"◆","")</f>
        <v/>
      </c>
      <c r="AS13" s="88" t="str">
        <f aca="false">IF(SUMPRODUCT((Milestones!$B$5:$B$10&gt;=AS$5)*(Milestones!$B$5:$B$10&lt;=AS$5+6))&gt;0,"◆","")</f>
        <v>◆</v>
      </c>
      <c r="AT13" s="88" t="str">
        <f aca="false">IF(SUMPRODUCT((Milestones!$B$5:$B$10&gt;=AT$5)*(Milestones!$B$5:$B$10&lt;=AT$5+6))&gt;0,"◆","")</f>
        <v/>
      </c>
      <c r="AU13" s="88" t="str">
        <f aca="false">IF(SUMPRODUCT((Milestones!$B$5:$B$10&gt;=AU$5)*(Milestones!$B$5:$B$10&lt;=AU$5+6))&gt;0,"◆","")</f>
        <v/>
      </c>
      <c r="AV13" s="88" t="str">
        <f aca="false">IF(SUMPRODUCT((Milestones!$B$5:$B$10&gt;=AV$5)*(Milestones!$B$5:$B$10&lt;=AV$5+6))&gt;0,"◆","")</f>
        <v/>
      </c>
      <c r="AW13" s="88" t="str">
        <f aca="false">IF(SUMPRODUCT((Milestones!$B$5:$B$10&gt;=AW$5)*(Milestones!$B$5:$B$10&lt;=AW$5+6))&gt;0,"◆","")</f>
        <v/>
      </c>
      <c r="AX13" s="88" t="str">
        <f aca="false">IF(SUMPRODUCT((Milestones!$B$5:$B$10&gt;=AX$5)*(Milestones!$B$5:$B$10&lt;=AX$5+6))&gt;0,"◆","")</f>
        <v/>
      </c>
      <c r="AY13" s="88" t="str">
        <f aca="false">IF(SUMPRODUCT((Milestones!$B$5:$B$10&gt;=AY$5)*(Milestones!$B$5:$B$10&lt;=AY$5+6))&gt;0,"◆","")</f>
        <v>◆</v>
      </c>
      <c r="AZ13" s="88" t="str">
        <f aca="false">IF(SUMPRODUCT((Milestones!$B$5:$B$10&gt;=AZ$5)*(Milestones!$B$5:$B$10&lt;=AZ$5+6))&gt;0,"◆","")</f>
        <v/>
      </c>
      <c r="BA13" s="88" t="str">
        <f aca="false">IF(SUMPRODUCT((Milestones!$B$5:$B$10&gt;=BA$5)*(Milestones!$B$5:$B$10&lt;=BA$5+6))&gt;0,"◆","")</f>
        <v/>
      </c>
      <c r="BB13" s="88" t="str">
        <f aca="false">IF(SUMPRODUCT((Milestones!$B$5:$B$10&gt;=BB$5)*(Milestones!$B$5:$B$10&lt;=BB$5+6))&gt;0,"◆","")</f>
        <v/>
      </c>
      <c r="BC13" s="88" t="str">
        <f aca="false">IF(SUMPRODUCT((Milestones!$B$5:$B$10&gt;=BC$5)*(Milestones!$B$5:$B$10&lt;=BC$5+6))&gt;0,"◆","")</f>
        <v>◆</v>
      </c>
      <c r="BD13" s="88" t="str">
        <f aca="false">IF(SUMPRODUCT((Milestones!$B$5:$B$10&gt;=BD$5)*(Milestones!$B$5:$B$10&lt;=BD$5+6))&gt;0,"◆","")</f>
        <v/>
      </c>
      <c r="BE13" s="88" t="str">
        <f aca="false">IF(SUMPRODUCT((Milestones!$B$5:$B$10&gt;=BE$5)*(Milestones!$B$5:$B$10&lt;=BE$5+6))&gt;0,"◆","")</f>
        <v/>
      </c>
      <c r="BF13" s="88" t="str">
        <f aca="false">IF(SUMPRODUCT((Milestones!$B$5:$B$10&gt;=BF$5)*(Milestones!$B$5:$B$10&lt;=BF$5+6))&gt;0,"◆","")</f>
        <v/>
      </c>
      <c r="BG13" s="88" t="str">
        <f aca="false">IF(SUMPRODUCT((Milestones!$B$5:$B$10&gt;=BG$5)*(Milestones!$B$5:$B$10&lt;=BG$5+6))&gt;0,"◆","")</f>
        <v/>
      </c>
      <c r="BH13" s="88" t="str">
        <f aca="false">IF(SUMPRODUCT((Milestones!$B$5:$B$10&gt;=BH$5)*(Milestones!$B$5:$B$10&lt;=BH$5+6))&gt;0,"◆","")</f>
        <v/>
      </c>
      <c r="BI13" s="88" t="str">
        <f aca="false">IF(SUMPRODUCT((Milestones!$B$5:$B$10&gt;=BI$5)*(Milestones!$B$5:$B$10&lt;=BI$5+6))&gt;0,"◆","")</f>
        <v/>
      </c>
      <c r="BJ13" s="88" t="str">
        <f aca="false">IF(SUMPRODUCT((Milestones!$B$5:$B$10&gt;=BJ$5)*(Milestones!$B$5:$B$10&lt;=BJ$5+6))&gt;0,"◆","")</f>
        <v/>
      </c>
      <c r="BK13" s="88" t="str">
        <f aca="false">IF(SUMPRODUCT((Milestones!$B$5:$B$10&gt;=BK$5)*(Milestones!$B$5:$B$10&lt;=BK$5+6))&gt;0,"◆","")</f>
        <v/>
      </c>
    </row>
    <row r="14" customFormat="false" ht="15" hidden="false" customHeight="true" outlineLevel="0" collapsed="false">
      <c r="A14" s="4" t="s">
        <v>948</v>
      </c>
      <c r="B14" s="4"/>
      <c r="C14" s="4"/>
      <c r="D14" s="88" t="str">
        <f aca="true">IF(AND(TODAY()&gt;=D$5,TODAY()&lt;=D$5+6),"▲","")</f>
        <v/>
      </c>
      <c r="E14" s="88" t="str">
        <f aca="true">IF(AND(TODAY()&gt;=E$5,TODAY()&lt;=E$5+6),"▲","")</f>
        <v/>
      </c>
      <c r="F14" s="88" t="str">
        <f aca="true">IF(AND(TODAY()&gt;=F$5,TODAY()&lt;=F$5+6),"▲","")</f>
        <v/>
      </c>
      <c r="G14" s="88" t="str">
        <f aca="true">IF(AND(TODAY()&gt;=G$5,TODAY()&lt;=G$5+6),"▲","")</f>
        <v/>
      </c>
      <c r="H14" s="88" t="str">
        <f aca="true">IF(AND(TODAY()&gt;=H$5,TODAY()&lt;=H$5+6),"▲","")</f>
        <v/>
      </c>
      <c r="I14" s="88" t="str">
        <f aca="true">IF(AND(TODAY()&gt;=I$5,TODAY()&lt;=I$5+6),"▲","")</f>
        <v/>
      </c>
      <c r="J14" s="88" t="str">
        <f aca="true">IF(AND(TODAY()&gt;=J$5,TODAY()&lt;=J$5+6),"▲","")</f>
        <v/>
      </c>
      <c r="K14" s="88" t="str">
        <f aca="true">IF(AND(TODAY()&gt;=K$5,TODAY()&lt;=K$5+6),"▲","")</f>
        <v/>
      </c>
      <c r="L14" s="88" t="str">
        <f aca="true">IF(AND(TODAY()&gt;=L$5,TODAY()&lt;=L$5+6),"▲","")</f>
        <v/>
      </c>
      <c r="M14" s="88" t="str">
        <f aca="true">IF(AND(TODAY()&gt;=M$5,TODAY()&lt;=M$5+6),"▲","")</f>
        <v/>
      </c>
      <c r="N14" s="88" t="str">
        <f aca="true">IF(AND(TODAY()&gt;=N$5,TODAY()&lt;=N$5+6),"▲","")</f>
        <v/>
      </c>
      <c r="O14" s="88" t="str">
        <f aca="true">IF(AND(TODAY()&gt;=O$5,TODAY()&lt;=O$5+6),"▲","")</f>
        <v/>
      </c>
      <c r="P14" s="88" t="str">
        <f aca="true">IF(AND(TODAY()&gt;=P$5,TODAY()&lt;=P$5+6),"▲","")</f>
        <v/>
      </c>
      <c r="Q14" s="88" t="str">
        <f aca="true">IF(AND(TODAY()&gt;=Q$5,TODAY()&lt;=Q$5+6),"▲","")</f>
        <v/>
      </c>
      <c r="R14" s="88" t="str">
        <f aca="true">IF(AND(TODAY()&gt;=R$5,TODAY()&lt;=R$5+6),"▲","")</f>
        <v/>
      </c>
      <c r="S14" s="88" t="str">
        <f aca="true">IF(AND(TODAY()&gt;=S$5,TODAY()&lt;=S$5+6),"▲","")</f>
        <v/>
      </c>
      <c r="T14" s="88" t="str">
        <f aca="true">IF(AND(TODAY()&gt;=T$5,TODAY()&lt;=T$5+6),"▲","")</f>
        <v/>
      </c>
      <c r="U14" s="88" t="str">
        <f aca="true">IF(AND(TODAY()&gt;=U$5,TODAY()&lt;=U$5+6),"▲","")</f>
        <v/>
      </c>
      <c r="V14" s="88" t="str">
        <f aca="true">IF(AND(TODAY()&gt;=V$5,TODAY()&lt;=V$5+6),"▲","")</f>
        <v/>
      </c>
      <c r="W14" s="88" t="str">
        <f aca="true">IF(AND(TODAY()&gt;=W$5,TODAY()&lt;=W$5+6),"▲","")</f>
        <v/>
      </c>
      <c r="X14" s="88" t="str">
        <f aca="true">IF(AND(TODAY()&gt;=X$5,TODAY()&lt;=X$5+6),"▲","")</f>
        <v/>
      </c>
      <c r="Y14" s="88" t="str">
        <f aca="true">IF(AND(TODAY()&gt;=Y$5,TODAY()&lt;=Y$5+6),"▲","")</f>
        <v/>
      </c>
      <c r="Z14" s="88" t="str">
        <f aca="true">IF(AND(TODAY()&gt;=Z$5,TODAY()&lt;=Z$5+6),"▲","")</f>
        <v/>
      </c>
      <c r="AA14" s="88" t="str">
        <f aca="true">IF(AND(TODAY()&gt;=AA$5,TODAY()&lt;=AA$5+6),"▲","")</f>
        <v/>
      </c>
      <c r="AB14" s="88" t="str">
        <f aca="true">IF(AND(TODAY()&gt;=AB$5,TODAY()&lt;=AB$5+6),"▲","")</f>
        <v/>
      </c>
      <c r="AC14" s="88" t="str">
        <f aca="true">IF(AND(TODAY()&gt;=AC$5,TODAY()&lt;=AC$5+6),"▲","")</f>
        <v/>
      </c>
      <c r="AD14" s="88" t="str">
        <f aca="true">IF(AND(TODAY()&gt;=AD$5,TODAY()&lt;=AD$5+6),"▲","")</f>
        <v/>
      </c>
      <c r="AE14" s="88" t="str">
        <f aca="true">IF(AND(TODAY()&gt;=AE$5,TODAY()&lt;=AE$5+6),"▲","")</f>
        <v/>
      </c>
      <c r="AF14" s="88" t="str">
        <f aca="true">IF(AND(TODAY()&gt;=AF$5,TODAY()&lt;=AF$5+6),"▲","")</f>
        <v/>
      </c>
      <c r="AG14" s="88" t="str">
        <f aca="true">IF(AND(TODAY()&gt;=AG$5,TODAY()&lt;=AG$5+6),"▲","")</f>
        <v/>
      </c>
      <c r="AH14" s="88" t="str">
        <f aca="true">IF(AND(TODAY()&gt;=AH$5,TODAY()&lt;=AH$5+6),"▲","")</f>
        <v/>
      </c>
      <c r="AI14" s="88" t="str">
        <f aca="true">IF(AND(TODAY()&gt;=AI$5,TODAY()&lt;=AI$5+6),"▲","")</f>
        <v/>
      </c>
      <c r="AJ14" s="88" t="str">
        <f aca="true">IF(AND(TODAY()&gt;=AJ$5,TODAY()&lt;=AJ$5+6),"▲","")</f>
        <v/>
      </c>
      <c r="AK14" s="88" t="str">
        <f aca="true">IF(AND(TODAY()&gt;=AK$5,TODAY()&lt;=AK$5+6),"▲","")</f>
        <v/>
      </c>
      <c r="AL14" s="88" t="str">
        <f aca="true">IF(AND(TODAY()&gt;=AL$5,TODAY()&lt;=AL$5+6),"▲","")</f>
        <v/>
      </c>
      <c r="AM14" s="88" t="str">
        <f aca="true">IF(AND(TODAY()&gt;=AM$5,TODAY()&lt;=AM$5+6),"▲","")</f>
        <v/>
      </c>
      <c r="AN14" s="88" t="str">
        <f aca="true">IF(AND(TODAY()&gt;=AN$5,TODAY()&lt;=AN$5+6),"▲","")</f>
        <v/>
      </c>
      <c r="AO14" s="88" t="str">
        <f aca="true">IF(AND(TODAY()&gt;=AO$5,TODAY()&lt;=AO$5+6),"▲","")</f>
        <v/>
      </c>
      <c r="AP14" s="88" t="str">
        <f aca="true">IF(AND(TODAY()&gt;=AP$5,TODAY()&lt;=AP$5+6),"▲","")</f>
        <v/>
      </c>
      <c r="AQ14" s="88" t="str">
        <f aca="true">IF(AND(TODAY()&gt;=AQ$5,TODAY()&lt;=AQ$5+6),"▲","")</f>
        <v/>
      </c>
      <c r="AR14" s="88" t="str">
        <f aca="true">IF(AND(TODAY()&gt;=AR$5,TODAY()&lt;=AR$5+6),"▲","")</f>
        <v/>
      </c>
      <c r="AS14" s="88" t="str">
        <f aca="true">IF(AND(TODAY()&gt;=AS$5,TODAY()&lt;=AS$5+6),"▲","")</f>
        <v/>
      </c>
      <c r="AT14" s="88" t="str">
        <f aca="true">IF(AND(TODAY()&gt;=AT$5,TODAY()&lt;=AT$5+6),"▲","")</f>
        <v/>
      </c>
      <c r="AU14" s="88" t="str">
        <f aca="true">IF(AND(TODAY()&gt;=AU$5,TODAY()&lt;=AU$5+6),"▲","")</f>
        <v/>
      </c>
      <c r="AV14" s="88" t="str">
        <f aca="true">IF(AND(TODAY()&gt;=AV$5,TODAY()&lt;=AV$5+6),"▲","")</f>
        <v/>
      </c>
      <c r="AW14" s="88" t="str">
        <f aca="true">IF(AND(TODAY()&gt;=AW$5,TODAY()&lt;=AW$5+6),"▲","")</f>
        <v/>
      </c>
      <c r="AX14" s="88" t="str">
        <f aca="true">IF(AND(TODAY()&gt;=AX$5,TODAY()&lt;=AX$5+6),"▲","")</f>
        <v/>
      </c>
      <c r="AY14" s="88" t="str">
        <f aca="true">IF(AND(TODAY()&gt;=AY$5,TODAY()&lt;=AY$5+6),"▲","")</f>
        <v/>
      </c>
      <c r="AZ14" s="88" t="str">
        <f aca="true">IF(AND(TODAY()&gt;=AZ$5,TODAY()&lt;=AZ$5+6),"▲","")</f>
        <v/>
      </c>
      <c r="BA14" s="88" t="str">
        <f aca="true">IF(AND(TODAY()&gt;=BA$5,TODAY()&lt;=BA$5+6),"▲","")</f>
        <v/>
      </c>
      <c r="BB14" s="88" t="str">
        <f aca="true">IF(AND(TODAY()&gt;=BB$5,TODAY()&lt;=BB$5+6),"▲","")</f>
        <v/>
      </c>
      <c r="BC14" s="88" t="str">
        <f aca="true">IF(AND(TODAY()&gt;=BC$5,TODAY()&lt;=BC$5+6),"▲","")</f>
        <v/>
      </c>
      <c r="BD14" s="88" t="str">
        <f aca="true">IF(AND(TODAY()&gt;=BD$5,TODAY()&lt;=BD$5+6),"▲","")</f>
        <v/>
      </c>
      <c r="BE14" s="88" t="str">
        <f aca="true">IF(AND(TODAY()&gt;=BE$5,TODAY()&lt;=BE$5+6),"▲","")</f>
        <v/>
      </c>
      <c r="BF14" s="88" t="str">
        <f aca="true">IF(AND(TODAY()&gt;=BF$5,TODAY()&lt;=BF$5+6),"▲","")</f>
        <v/>
      </c>
      <c r="BG14" s="88" t="str">
        <f aca="true">IF(AND(TODAY()&gt;=BG$5,TODAY()&lt;=BG$5+6),"▲","")</f>
        <v/>
      </c>
      <c r="BH14" s="88" t="str">
        <f aca="true">IF(AND(TODAY()&gt;=BH$5,TODAY()&lt;=BH$5+6),"▲","")</f>
        <v/>
      </c>
      <c r="BI14" s="88" t="str">
        <f aca="true">IF(AND(TODAY()&gt;=BI$5,TODAY()&lt;=BI$5+6),"▲","")</f>
        <v/>
      </c>
      <c r="BJ14" s="88" t="str">
        <f aca="true">IF(AND(TODAY()&gt;=BJ$5,TODAY()&lt;=BJ$5+6),"▲","")</f>
        <v/>
      </c>
      <c r="BK14" s="88" t="str">
        <f aca="true">IF(AND(TODAY()&gt;=BK$5,TODAY()&lt;=BK$5+6),"▲","")</f>
        <v/>
      </c>
    </row>
    <row r="16" customFormat="false" ht="15" hidden="false" customHeight="true" outlineLevel="0" collapsed="false">
      <c r="A16" s="54" t="str">
        <f aca="false">"Ship lands in week "&amp;ROUNDUP((Schedule!B12-Assumptions!B8+1)/7,0)&amp;" of 60 shown. ◆ marks the week a gate falls due; ▲ marks the current week."</f>
        <v>Ship lands in week 52 of 60 shown. ◆ marks the week a gate falls due; ▲ marks the current week.</v>
      </c>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row>
  </sheetData>
  <mergeCells count="3">
    <mergeCell ref="A1:AD1"/>
    <mergeCell ref="A2:AD2"/>
    <mergeCell ref="A16:AD16"/>
  </mergeCells>
  <conditionalFormatting sqref="D7:BK7">
    <cfRule type="expression" priority="2" aboveAverage="0" equalAverage="0" bottom="0" percent="0" rank="0" text="" dxfId="16">
      <formula>D7=1</formula>
    </cfRule>
  </conditionalFormatting>
  <conditionalFormatting sqref="D8:BK8">
    <cfRule type="expression" priority="3" aboveAverage="0" equalAverage="0" bottom="0" percent="0" rank="0" text="" dxfId="17">
      <formula>D8=1</formula>
    </cfRule>
  </conditionalFormatting>
  <conditionalFormatting sqref="D9:BK9">
    <cfRule type="expression" priority="4" aboveAverage="0" equalAverage="0" bottom="0" percent="0" rank="0" text="" dxfId="18">
      <formula>D9=1</formula>
    </cfRule>
  </conditionalFormatting>
  <conditionalFormatting sqref="D10:BK10">
    <cfRule type="expression" priority="5" aboveAverage="0" equalAverage="0" bottom="0" percent="0" rank="0" text="" dxfId="19">
      <formula>D10=1</formula>
    </cfRule>
  </conditionalFormatting>
  <conditionalFormatting sqref="D11:BK11">
    <cfRule type="expression" priority="6" aboveAverage="0" equalAverage="0" bottom="0" percent="0" rank="0" text="" dxfId="20">
      <formula>D11=1</formula>
    </cfRule>
  </conditionalFormatting>
  <conditionalFormatting sqref="D12:BK12">
    <cfRule type="expression" priority="7" aboveAverage="0" equalAverage="0" bottom="0" percent="0" rank="0" text="" dxfId="21">
      <formula>D12=1</formula>
    </cfRule>
  </conditionalFormatting>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46A"/>
    <pageSetUpPr fitToPage="true"/>
  </sheetPr>
  <dimension ref="A1:J37"/>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4" min="2" style="1" width="16"/>
    <col collapsed="false" customWidth="true" hidden="false" outlineLevel="0" max="5" min="5" style="1" width="14"/>
    <col collapsed="false" customWidth="true" hidden="false" outlineLevel="0" max="7" min="6" style="1" width="12"/>
    <col collapsed="false" customWidth="true" hidden="false" outlineLevel="0" max="10" min="8" style="1" width="16"/>
  </cols>
  <sheetData>
    <row r="1" customFormat="false" ht="31.5" hidden="false" customHeight="true" outlineLevel="0" collapsed="false">
      <c r="A1" s="2" t="s">
        <v>0</v>
      </c>
      <c r="B1" s="2"/>
      <c r="C1" s="2"/>
      <c r="D1" s="2"/>
      <c r="E1" s="2"/>
      <c r="F1" s="2"/>
      <c r="G1" s="2"/>
      <c r="H1" s="2"/>
    </row>
    <row r="2" customFormat="false" ht="19.5" hidden="false" customHeight="true" outlineLevel="0" collapsed="false">
      <c r="A2" s="3" t="s">
        <v>949</v>
      </c>
      <c r="B2" s="3"/>
      <c r="C2" s="3"/>
      <c r="D2" s="3"/>
      <c r="E2" s="3"/>
      <c r="F2" s="3"/>
      <c r="G2" s="3"/>
      <c r="H2" s="3"/>
    </row>
    <row r="4" customFormat="false" ht="15" hidden="false" customHeight="true" outlineLevel="0" collapsed="false">
      <c r="A4" s="57" t="s">
        <v>950</v>
      </c>
      <c r="B4" s="57" t="s">
        <v>951</v>
      </c>
      <c r="C4" s="57" t="s">
        <v>96</v>
      </c>
      <c r="D4" s="57" t="s">
        <v>98</v>
      </c>
      <c r="E4" s="57" t="s">
        <v>100</v>
      </c>
      <c r="F4" s="57" t="s">
        <v>102</v>
      </c>
      <c r="G4" s="57" t="s">
        <v>104</v>
      </c>
      <c r="H4" s="57" t="s">
        <v>106</v>
      </c>
      <c r="I4" s="57" t="s">
        <v>952</v>
      </c>
      <c r="J4" s="57" t="s">
        <v>7</v>
      </c>
    </row>
    <row r="5" customFormat="false" ht="21.75" hidden="false" customHeight="true" outlineLevel="0" collapsed="false">
      <c r="A5" s="26" t="s">
        <v>371</v>
      </c>
      <c r="B5" s="89" t="n">
        <f aca="false">Assumptions!B26</f>
        <v>1800</v>
      </c>
      <c r="C5" s="43" t="n">
        <v>6</v>
      </c>
      <c r="D5" s="43" t="n">
        <v>8</v>
      </c>
      <c r="E5" s="43" t="n">
        <v>14</v>
      </c>
      <c r="F5" s="43" t="n">
        <v>6</v>
      </c>
      <c r="G5" s="43" t="n">
        <v>4</v>
      </c>
      <c r="H5" s="43" t="n">
        <v>2</v>
      </c>
      <c r="I5" s="32" t="n">
        <f aca="false">SUM(C5:H5)</f>
        <v>40</v>
      </c>
      <c r="J5" s="90" t="n">
        <f aca="false">B5*I5</f>
        <v>72000</v>
      </c>
    </row>
    <row r="6" customFormat="false" ht="21.75" hidden="false" customHeight="true" outlineLevel="0" collapsed="false">
      <c r="A6" s="26" t="s">
        <v>710</v>
      </c>
      <c r="B6" s="89" t="n">
        <f aca="false">Assumptions!B27</f>
        <v>2200</v>
      </c>
      <c r="C6" s="43" t="n">
        <v>4</v>
      </c>
      <c r="D6" s="43" t="n">
        <v>10</v>
      </c>
      <c r="E6" s="43" t="n">
        <v>18</v>
      </c>
      <c r="F6" s="43" t="n">
        <v>6</v>
      </c>
      <c r="G6" s="43" t="n">
        <v>4</v>
      </c>
      <c r="H6" s="43" t="n">
        <v>2</v>
      </c>
      <c r="I6" s="32" t="n">
        <f aca="false">SUM(C6:H6)</f>
        <v>44</v>
      </c>
      <c r="J6" s="90" t="n">
        <f aca="false">B6*I6</f>
        <v>96800</v>
      </c>
    </row>
    <row r="7" customFormat="false" ht="21.75" hidden="false" customHeight="true" outlineLevel="0" collapsed="false">
      <c r="A7" s="26" t="s">
        <v>717</v>
      </c>
      <c r="B7" s="89" t="n">
        <f aca="false">Assumptions!B28</f>
        <v>1700</v>
      </c>
      <c r="C7" s="43" t="n">
        <v>2</v>
      </c>
      <c r="D7" s="43" t="n">
        <v>6</v>
      </c>
      <c r="E7" s="43" t="n">
        <v>14</v>
      </c>
      <c r="F7" s="43" t="n">
        <v>4</v>
      </c>
      <c r="G7" s="43" t="n">
        <v>3</v>
      </c>
      <c r="H7" s="43" t="n">
        <v>2</v>
      </c>
      <c r="I7" s="32" t="n">
        <f aca="false">SUM(C7:H7)</f>
        <v>31</v>
      </c>
      <c r="J7" s="90" t="n">
        <f aca="false">B7*I7</f>
        <v>52700</v>
      </c>
    </row>
    <row r="8" customFormat="false" ht="21.75" hidden="false" customHeight="true" outlineLevel="0" collapsed="false">
      <c r="A8" s="26" t="s">
        <v>810</v>
      </c>
      <c r="B8" s="89" t="n">
        <f aca="false">Assumptions!B29</f>
        <v>1600</v>
      </c>
      <c r="C8" s="43" t="n">
        <v>0</v>
      </c>
      <c r="D8" s="43" t="n">
        <v>2</v>
      </c>
      <c r="E8" s="43" t="n">
        <v>4</v>
      </c>
      <c r="F8" s="43" t="n">
        <v>2</v>
      </c>
      <c r="G8" s="43" t="n">
        <v>2</v>
      </c>
      <c r="H8" s="43" t="n">
        <v>2</v>
      </c>
      <c r="I8" s="32" t="n">
        <f aca="false">SUM(C8:H8)</f>
        <v>12</v>
      </c>
      <c r="J8" s="90" t="n">
        <f aca="false">B8*I8</f>
        <v>19200</v>
      </c>
    </row>
    <row r="9" customFormat="false" ht="21.75" hidden="false" customHeight="true" outlineLevel="0" collapsed="false">
      <c r="A9" s="26" t="s">
        <v>865</v>
      </c>
      <c r="B9" s="89" t="n">
        <f aca="false">Assumptions!B30</f>
        <v>1200</v>
      </c>
      <c r="C9" s="43" t="n">
        <v>0</v>
      </c>
      <c r="D9" s="43" t="n">
        <v>2</v>
      </c>
      <c r="E9" s="43" t="n">
        <v>4</v>
      </c>
      <c r="F9" s="43" t="n">
        <v>4</v>
      </c>
      <c r="G9" s="43" t="n">
        <v>6</v>
      </c>
      <c r="H9" s="43" t="n">
        <v>2</v>
      </c>
      <c r="I9" s="32" t="n">
        <f aca="false">SUM(C9:H9)</f>
        <v>18</v>
      </c>
      <c r="J9" s="90" t="n">
        <f aca="false">B9*I9</f>
        <v>21600</v>
      </c>
    </row>
    <row r="10" customFormat="false" ht="21.75" hidden="false" customHeight="true" outlineLevel="0" collapsed="false">
      <c r="A10" s="26" t="s">
        <v>100</v>
      </c>
      <c r="B10" s="89" t="n">
        <f aca="false">Assumptions!B31</f>
        <v>1900</v>
      </c>
      <c r="C10" s="43" t="n">
        <v>4</v>
      </c>
      <c r="D10" s="43" t="n">
        <v>6</v>
      </c>
      <c r="E10" s="43" t="n">
        <v>10</v>
      </c>
      <c r="F10" s="43" t="n">
        <v>4</v>
      </c>
      <c r="G10" s="43" t="n">
        <v>4</v>
      </c>
      <c r="H10" s="43" t="n">
        <v>4</v>
      </c>
      <c r="I10" s="32" t="n">
        <f aca="false">SUM(C10:H10)</f>
        <v>32</v>
      </c>
      <c r="J10" s="90" t="n">
        <f aca="false">B10*I10</f>
        <v>60800</v>
      </c>
    </row>
    <row r="11" customFormat="false" ht="15" hidden="false" customHeight="true" outlineLevel="0" collapsed="false">
      <c r="A11" s="71" t="s">
        <v>953</v>
      </c>
      <c r="B11" s="71" t="s">
        <v>954</v>
      </c>
      <c r="C11" s="32" t="n">
        <f aca="false">SUM(C5:C10)</f>
        <v>16</v>
      </c>
      <c r="D11" s="32" t="n">
        <f aca="false">SUM(D5:D10)</f>
        <v>34</v>
      </c>
      <c r="E11" s="32" t="n">
        <f aca="false">SUM(E5:E10)</f>
        <v>64</v>
      </c>
      <c r="F11" s="32" t="n">
        <f aca="false">SUM(F5:F10)</f>
        <v>26</v>
      </c>
      <c r="G11" s="32" t="n">
        <f aca="false">SUM(G5:G10)</f>
        <v>23</v>
      </c>
      <c r="H11" s="32" t="n">
        <f aca="false">SUM(H5:H10)</f>
        <v>14</v>
      </c>
      <c r="I11" s="32" t="n">
        <f aca="false">SUM(I5:I10)</f>
        <v>177</v>
      </c>
      <c r="J11" s="91" t="n">
        <f aca="false">SUM(J5:J10)</f>
        <v>323100</v>
      </c>
    </row>
    <row r="12" customFormat="false" ht="15" hidden="false" customHeight="true" outlineLevel="0" collapsed="false">
      <c r="A12" s="71" t="s">
        <v>955</v>
      </c>
      <c r="B12" s="71" t="s">
        <v>956</v>
      </c>
      <c r="C12" s="62" t="n">
        <f aca="false">IF(Assumptions!B16=0,0,C11/Assumptions!B16)</f>
        <v>2</v>
      </c>
      <c r="D12" s="62" t="n">
        <f aca="false">IF(Assumptions!B17=0,0,D11/Assumptions!B17)</f>
        <v>3.4</v>
      </c>
      <c r="E12" s="62" t="n">
        <f aca="false">IF(Assumptions!B18=0,0,E11/Assumptions!B18)</f>
        <v>3.55555555555556</v>
      </c>
      <c r="F12" s="62" t="n">
        <f aca="false">IF(Assumptions!B19=0,0,F11/Assumptions!B19)</f>
        <v>4.33333333333333</v>
      </c>
      <c r="G12" s="62" t="n">
        <f aca="false">IF(Assumptions!B20=0,0,G11/Assumptions!B20)</f>
        <v>3.83333333333333</v>
      </c>
      <c r="H12" s="62" t="n">
        <f aca="false">IF(Assumptions!B21=0,0,H11/Assumptions!B21)</f>
        <v>3.5</v>
      </c>
      <c r="I12" s="62" t="n">
        <f aca="false">IF(Assumptions!B22=0,0,I11/Assumptions!B22)</f>
        <v>3.40384615384615</v>
      </c>
    </row>
    <row r="13" customFormat="false" ht="15" hidden="false" customHeight="true" outlineLevel="0" collapsed="false">
      <c r="A13" s="6" t="s">
        <v>957</v>
      </c>
      <c r="B13" s="6"/>
      <c r="C13" s="6"/>
      <c r="D13" s="6"/>
      <c r="E13" s="6"/>
      <c r="F13" s="6"/>
      <c r="G13" s="6"/>
      <c r="H13" s="6"/>
    </row>
    <row r="14" customFormat="false" ht="15" hidden="false" customHeight="true" outlineLevel="0" collapsed="false">
      <c r="A14" s="9" t="s">
        <v>5</v>
      </c>
      <c r="B14" s="9" t="s">
        <v>958</v>
      </c>
      <c r="C14" s="9" t="s">
        <v>371</v>
      </c>
      <c r="D14" s="9" t="s">
        <v>710</v>
      </c>
      <c r="E14" s="9" t="s">
        <v>717</v>
      </c>
      <c r="F14" s="9" t="s">
        <v>810</v>
      </c>
      <c r="G14" s="9" t="s">
        <v>865</v>
      </c>
      <c r="H14" s="9" t="s">
        <v>100</v>
      </c>
      <c r="I14" s="9" t="s">
        <v>952</v>
      </c>
      <c r="J14" s="9" t="s">
        <v>7</v>
      </c>
    </row>
    <row r="15" customFormat="false" ht="19.5" hidden="false" customHeight="true" outlineLevel="0" collapsed="false">
      <c r="A15" s="79" t="str">
        <f aca="false">Assumptions!A16</f>
        <v>Preproduction</v>
      </c>
      <c r="B15" s="60" t="n">
        <f aca="false">Assumptions!B16</f>
        <v>8</v>
      </c>
      <c r="C15" s="32" t="n">
        <f aca="false">C5</f>
        <v>6</v>
      </c>
      <c r="D15" s="32" t="n">
        <f aca="false">C6</f>
        <v>4</v>
      </c>
      <c r="E15" s="32" t="n">
        <f aca="false">C7</f>
        <v>2</v>
      </c>
      <c r="F15" s="32" t="n">
        <f aca="false">C8</f>
        <v>0</v>
      </c>
      <c r="G15" s="32" t="n">
        <f aca="false">C9</f>
        <v>0</v>
      </c>
      <c r="H15" s="32" t="n">
        <f aca="false">C10</f>
        <v>4</v>
      </c>
      <c r="I15" s="32" t="n">
        <f aca="false">SUM(C15:H15)</f>
        <v>16</v>
      </c>
      <c r="J15" s="90" t="n">
        <f aca="false">C15*Assumptions!$B$26+D15*Assumptions!$B$27+E15*Assumptions!$B$28+F15*Assumptions!$B$29+G15*Assumptions!$B$30+H15*Assumptions!$B$31</f>
        <v>30600</v>
      </c>
    </row>
    <row r="16" customFormat="false" ht="19.5" hidden="false" customHeight="true" outlineLevel="0" collapsed="false">
      <c r="A16" s="79" t="str">
        <f aca="false">Assumptions!A17</f>
        <v>Vertical slice</v>
      </c>
      <c r="B16" s="60" t="n">
        <f aca="false">Assumptions!B17</f>
        <v>10</v>
      </c>
      <c r="C16" s="32" t="n">
        <f aca="false">D5</f>
        <v>8</v>
      </c>
      <c r="D16" s="32" t="n">
        <f aca="false">D6</f>
        <v>10</v>
      </c>
      <c r="E16" s="32" t="n">
        <f aca="false">D7</f>
        <v>6</v>
      </c>
      <c r="F16" s="32" t="n">
        <f aca="false">D8</f>
        <v>2</v>
      </c>
      <c r="G16" s="32" t="n">
        <f aca="false">D9</f>
        <v>2</v>
      </c>
      <c r="H16" s="32" t="n">
        <f aca="false">D10</f>
        <v>6</v>
      </c>
      <c r="I16" s="32" t="n">
        <f aca="false">SUM(C16:H16)</f>
        <v>34</v>
      </c>
      <c r="J16" s="90" t="n">
        <f aca="false">C16*Assumptions!$B$26+D16*Assumptions!$B$27+E16*Assumptions!$B$28+F16*Assumptions!$B$29+G16*Assumptions!$B$30+H16*Assumptions!$B$31</f>
        <v>63600</v>
      </c>
    </row>
    <row r="17" customFormat="false" ht="19.5" hidden="false" customHeight="true" outlineLevel="0" collapsed="false">
      <c r="A17" s="79" t="str">
        <f aca="false">Assumptions!A18</f>
        <v>Production</v>
      </c>
      <c r="B17" s="60" t="n">
        <f aca="false">Assumptions!B18</f>
        <v>18</v>
      </c>
      <c r="C17" s="32" t="n">
        <f aca="false">E5</f>
        <v>14</v>
      </c>
      <c r="D17" s="32" t="n">
        <f aca="false">E6</f>
        <v>18</v>
      </c>
      <c r="E17" s="32" t="n">
        <f aca="false">E7</f>
        <v>14</v>
      </c>
      <c r="F17" s="32" t="n">
        <f aca="false">E8</f>
        <v>4</v>
      </c>
      <c r="G17" s="32" t="n">
        <f aca="false">E9</f>
        <v>4</v>
      </c>
      <c r="H17" s="32" t="n">
        <f aca="false">E10</f>
        <v>10</v>
      </c>
      <c r="I17" s="32" t="n">
        <f aca="false">SUM(C17:H17)</f>
        <v>64</v>
      </c>
      <c r="J17" s="90" t="n">
        <f aca="false">C17*Assumptions!$B$26+D17*Assumptions!$B$27+E17*Assumptions!$B$28+F17*Assumptions!$B$29+G17*Assumptions!$B$30+H17*Assumptions!$B$31</f>
        <v>118800</v>
      </c>
    </row>
    <row r="18" customFormat="false" ht="19.5" hidden="false" customHeight="true" outlineLevel="0" collapsed="false">
      <c r="A18" s="79" t="str">
        <f aca="false">Assumptions!A19</f>
        <v>Alpha</v>
      </c>
      <c r="B18" s="60" t="n">
        <f aca="false">Assumptions!B19</f>
        <v>6</v>
      </c>
      <c r="C18" s="32" t="n">
        <f aca="false">F5</f>
        <v>6</v>
      </c>
      <c r="D18" s="32" t="n">
        <f aca="false">F6</f>
        <v>6</v>
      </c>
      <c r="E18" s="32" t="n">
        <f aca="false">F7</f>
        <v>4</v>
      </c>
      <c r="F18" s="32" t="n">
        <f aca="false">F8</f>
        <v>2</v>
      </c>
      <c r="G18" s="32" t="n">
        <f aca="false">F9</f>
        <v>4</v>
      </c>
      <c r="H18" s="32" t="n">
        <f aca="false">F10</f>
        <v>4</v>
      </c>
      <c r="I18" s="32" t="n">
        <f aca="false">SUM(C18:H18)</f>
        <v>26</v>
      </c>
      <c r="J18" s="90" t="n">
        <f aca="false">C18*Assumptions!$B$26+D18*Assumptions!$B$27+E18*Assumptions!$B$28+F18*Assumptions!$B$29+G18*Assumptions!$B$30+H18*Assumptions!$B$31</f>
        <v>46400</v>
      </c>
    </row>
    <row r="19" customFormat="false" ht="19.5" hidden="false" customHeight="true" outlineLevel="0" collapsed="false">
      <c r="A19" s="79" t="str">
        <f aca="false">Assumptions!A20</f>
        <v>Beta</v>
      </c>
      <c r="B19" s="60" t="n">
        <f aca="false">Assumptions!B20</f>
        <v>6</v>
      </c>
      <c r="C19" s="32" t="n">
        <f aca="false">G5</f>
        <v>4</v>
      </c>
      <c r="D19" s="32" t="n">
        <f aca="false">G6</f>
        <v>4</v>
      </c>
      <c r="E19" s="32" t="n">
        <f aca="false">G7</f>
        <v>3</v>
      </c>
      <c r="F19" s="32" t="n">
        <f aca="false">G8</f>
        <v>2</v>
      </c>
      <c r="G19" s="32" t="n">
        <f aca="false">G9</f>
        <v>6</v>
      </c>
      <c r="H19" s="32" t="n">
        <f aca="false">G10</f>
        <v>4</v>
      </c>
      <c r="I19" s="32" t="n">
        <f aca="false">SUM(C19:H19)</f>
        <v>23</v>
      </c>
      <c r="J19" s="90" t="n">
        <f aca="false">C19*Assumptions!$B$26+D19*Assumptions!$B$27+E19*Assumptions!$B$28+F19*Assumptions!$B$29+G19*Assumptions!$B$30+H19*Assumptions!$B$31</f>
        <v>39100</v>
      </c>
    </row>
    <row r="20" customFormat="false" ht="19.5" hidden="false" customHeight="true" outlineLevel="0" collapsed="false">
      <c r="A20" s="79" t="str">
        <f aca="false">Assumptions!A21</f>
        <v>Polish and ship</v>
      </c>
      <c r="B20" s="32" t="n">
        <f aca="false">Assumptions!B21</f>
        <v>4</v>
      </c>
      <c r="C20" s="32" t="n">
        <f aca="false">H5</f>
        <v>2</v>
      </c>
      <c r="D20" s="32" t="n">
        <f aca="false">H6</f>
        <v>2</v>
      </c>
      <c r="E20" s="32" t="n">
        <f aca="false">H7</f>
        <v>2</v>
      </c>
      <c r="F20" s="32" t="n">
        <f aca="false">H8</f>
        <v>2</v>
      </c>
      <c r="G20" s="32" t="n">
        <f aca="false">H9</f>
        <v>2</v>
      </c>
      <c r="H20" s="32" t="n">
        <f aca="false">H10</f>
        <v>4</v>
      </c>
      <c r="I20" s="32" t="n">
        <f aca="false">SUM(C20:H20)</f>
        <v>14</v>
      </c>
      <c r="J20" s="90" t="n">
        <f aca="false">C20*Assumptions!$B$26+D20*Assumptions!$B$27+E20*Assumptions!$B$28+F20*Assumptions!$B$29+G20*Assumptions!$B$30+H20*Assumptions!$B$31</f>
        <v>24600</v>
      </c>
    </row>
    <row r="21" customFormat="false" ht="15" hidden="false" customHeight="true" outlineLevel="0" collapsed="false">
      <c r="A21" s="20" t="s">
        <v>959</v>
      </c>
      <c r="B21" s="20"/>
      <c r="C21" s="20"/>
      <c r="D21" s="20"/>
      <c r="E21" s="20"/>
      <c r="F21" s="20"/>
      <c r="G21" s="20"/>
      <c r="H21" s="20"/>
      <c r="I21" s="20"/>
      <c r="J21" s="92" t="n">
        <f aca="false">SUM(J15:J20)</f>
        <v>323100</v>
      </c>
    </row>
    <row r="22" customFormat="false" ht="15" hidden="false" customHeight="true" outlineLevel="0" collapsed="false">
      <c r="A22" s="50" t="s">
        <v>960</v>
      </c>
      <c r="B22" s="50"/>
      <c r="C22" s="50"/>
      <c r="D22" s="50"/>
      <c r="E22" s="50"/>
      <c r="F22" s="50"/>
      <c r="G22" s="50"/>
      <c r="H22" s="50"/>
      <c r="I22" s="93" t="n">
        <f aca="false">Assumptions!B32</f>
        <v>0.15</v>
      </c>
      <c r="J22" s="90" t="n">
        <f aca="false">J21*I22</f>
        <v>48465</v>
      </c>
    </row>
    <row r="23" customFormat="false" ht="15" hidden="false" customHeight="true" outlineLevel="0" collapsed="false">
      <c r="A23" s="50" t="s">
        <v>961</v>
      </c>
      <c r="B23" s="50"/>
      <c r="C23" s="50"/>
      <c r="D23" s="50"/>
      <c r="E23" s="50"/>
      <c r="F23" s="50"/>
      <c r="G23" s="50"/>
      <c r="H23" s="50"/>
      <c r="I23" s="50"/>
      <c r="J23" s="90" t="n">
        <f aca="false">Assumptions!B34</f>
        <v>18000</v>
      </c>
    </row>
    <row r="24" customFormat="false" ht="15" hidden="false" customHeight="true" outlineLevel="0" collapsed="false">
      <c r="A24" s="50" t="s">
        <v>962</v>
      </c>
      <c r="B24" s="50"/>
      <c r="C24" s="50"/>
      <c r="D24" s="50"/>
      <c r="E24" s="50"/>
      <c r="F24" s="50"/>
      <c r="G24" s="50"/>
      <c r="H24" s="50"/>
      <c r="I24" s="50"/>
      <c r="J24" s="90" t="n">
        <f aca="false">Assumptions!B35</f>
        <v>12000</v>
      </c>
    </row>
    <row r="25" customFormat="false" ht="15" hidden="false" customHeight="true" outlineLevel="0" collapsed="false">
      <c r="A25" s="50" t="s">
        <v>129</v>
      </c>
      <c r="B25" s="50"/>
      <c r="C25" s="50"/>
      <c r="D25" s="50"/>
      <c r="E25" s="50"/>
      <c r="F25" s="50"/>
      <c r="G25" s="50"/>
      <c r="H25" s="50"/>
      <c r="I25" s="50"/>
      <c r="J25" s="90" t="n">
        <f aca="false">Assumptions!B36</f>
        <v>4000</v>
      </c>
    </row>
    <row r="26" customFormat="false" ht="15" hidden="false" customHeight="true" outlineLevel="0" collapsed="false">
      <c r="A26" s="50" t="s">
        <v>130</v>
      </c>
      <c r="B26" s="50"/>
      <c r="C26" s="50"/>
      <c r="D26" s="50"/>
      <c r="E26" s="50"/>
      <c r="F26" s="50"/>
      <c r="G26" s="50"/>
      <c r="H26" s="50"/>
      <c r="I26" s="50"/>
      <c r="J26" s="90" t="n">
        <f aca="false">Assumptions!B37</f>
        <v>2500</v>
      </c>
    </row>
    <row r="27" customFormat="false" ht="15" hidden="false" customHeight="true" outlineLevel="0" collapsed="false">
      <c r="A27" s="50" t="s">
        <v>193</v>
      </c>
      <c r="B27" s="50"/>
      <c r="C27" s="50"/>
      <c r="D27" s="50"/>
      <c r="E27" s="50"/>
      <c r="F27" s="50"/>
      <c r="G27" s="50"/>
      <c r="H27" s="50"/>
      <c r="I27" s="50"/>
      <c r="J27" s="90" t="n">
        <f aca="false">Assumptions!B76</f>
        <v>3000</v>
      </c>
    </row>
    <row r="28" customFormat="false" ht="15" hidden="false" customHeight="true" outlineLevel="0" collapsed="false">
      <c r="A28" s="50" t="s">
        <v>963</v>
      </c>
      <c r="B28" s="50"/>
      <c r="C28" s="50"/>
      <c r="D28" s="50"/>
      <c r="E28" s="50"/>
      <c r="F28" s="50"/>
      <c r="G28" s="50"/>
      <c r="H28" s="50"/>
      <c r="I28" s="50"/>
      <c r="J28" s="90" t="n">
        <f aca="false">Assumptions!B75</f>
        <v>100</v>
      </c>
    </row>
    <row r="29" customFormat="false" ht="15" hidden="false" customHeight="true" outlineLevel="0" collapsed="false">
      <c r="A29" s="26" t="s">
        <v>964</v>
      </c>
      <c r="B29" s="26"/>
      <c r="C29" s="26"/>
      <c r="D29" s="26"/>
      <c r="E29" s="26"/>
      <c r="F29" s="26"/>
      <c r="G29" s="26"/>
      <c r="H29" s="26"/>
      <c r="I29" s="26"/>
      <c r="J29" s="94" t="n">
        <f aca="false">SUM(J21:J28)</f>
        <v>411165</v>
      </c>
    </row>
    <row r="30" customFormat="false" ht="15" hidden="false" customHeight="true" outlineLevel="0" collapsed="false">
      <c r="A30" s="50" t="s">
        <v>123</v>
      </c>
      <c r="B30" s="50"/>
      <c r="C30" s="50"/>
      <c r="D30" s="50"/>
      <c r="E30" s="50"/>
      <c r="F30" s="50"/>
      <c r="G30" s="50"/>
      <c r="H30" s="50"/>
      <c r="I30" s="93" t="n">
        <f aca="false">Assumptions!B33</f>
        <v>0.12</v>
      </c>
      <c r="J30" s="90" t="n">
        <f aca="false">J29*I30</f>
        <v>49339.8</v>
      </c>
    </row>
    <row r="31" customFormat="false" ht="15" hidden="false" customHeight="true" outlineLevel="0" collapsed="false">
      <c r="A31" s="66" t="s">
        <v>965</v>
      </c>
      <c r="B31" s="66"/>
      <c r="C31" s="66"/>
      <c r="D31" s="66"/>
      <c r="E31" s="66"/>
      <c r="F31" s="66"/>
      <c r="G31" s="66"/>
      <c r="H31" s="66"/>
      <c r="I31" s="66"/>
      <c r="J31" s="68" t="n">
        <f aca="false">J29+J30</f>
        <v>460504.8</v>
      </c>
    </row>
    <row r="32" customFormat="false" ht="15" hidden="false" customHeight="true" outlineLevel="0" collapsed="false"/>
    <row r="33" customFormat="false" ht="15" hidden="false" customHeight="true" outlineLevel="0" collapsed="false">
      <c r="A33" s="71" t="s">
        <v>966</v>
      </c>
    </row>
    <row r="34" customFormat="false" ht="15" hidden="false" customHeight="true" outlineLevel="0" collapsed="false">
      <c r="A34" s="95" t="s">
        <v>967</v>
      </c>
      <c r="B34" s="95"/>
      <c r="C34" s="95"/>
      <c r="D34" s="95"/>
      <c r="E34" s="95"/>
      <c r="F34" s="95"/>
      <c r="G34" s="95"/>
      <c r="H34" s="95"/>
      <c r="I34" s="95"/>
      <c r="J34" s="95"/>
    </row>
    <row r="35" customFormat="false" ht="15" hidden="false" customHeight="true" outlineLevel="0" collapsed="false">
      <c r="A35" s="4" t="s">
        <v>959</v>
      </c>
      <c r="B35" s="90" t="n">
        <f aca="false">J21</f>
        <v>323100</v>
      </c>
    </row>
    <row r="36" customFormat="false" ht="15" hidden="false" customHeight="true" outlineLevel="0" collapsed="false">
      <c r="A36" s="4" t="s">
        <v>968</v>
      </c>
      <c r="B36" s="90" t="n">
        <f aca="false">J31</f>
        <v>460504.8</v>
      </c>
    </row>
    <row r="37" customFormat="false" ht="15" hidden="false" customHeight="true" outlineLevel="0" collapsed="false">
      <c r="A37" s="4" t="s">
        <v>969</v>
      </c>
      <c r="B37" s="90" t="n">
        <f aca="false">SUM(J22:J28)*(1+I30)</f>
        <v>98632.8</v>
      </c>
    </row>
  </sheetData>
  <autoFilter ref="A4:J10"/>
  <mergeCells count="4">
    <mergeCell ref="A1:H1"/>
    <mergeCell ref="A2:H2"/>
    <mergeCell ref="A13:H13"/>
    <mergeCell ref="A34:J34"/>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2F2F"/>
    <pageSetUpPr fitToPage="tru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4" min="3" style="1" width="18"/>
    <col collapsed="false" customWidth="true" hidden="false" outlineLevel="0" max="5" min="5" style="1" width="40"/>
  </cols>
  <sheetData>
    <row r="1" customFormat="false" ht="31.5" hidden="false" customHeight="true" outlineLevel="0" collapsed="false">
      <c r="A1" s="2" t="s">
        <v>0</v>
      </c>
      <c r="B1" s="2"/>
      <c r="C1" s="2"/>
      <c r="D1" s="2"/>
      <c r="E1" s="2"/>
    </row>
    <row r="2" customFormat="false" ht="19.5" hidden="false" customHeight="true" outlineLevel="0" collapsed="false">
      <c r="A2" s="3" t="s">
        <v>970</v>
      </c>
      <c r="B2" s="3"/>
      <c r="C2" s="3"/>
      <c r="D2" s="3"/>
      <c r="E2" s="3"/>
    </row>
    <row r="4" customFormat="false" ht="15" hidden="false" customHeight="true" outlineLevel="0" collapsed="false">
      <c r="A4" s="6" t="s">
        <v>971</v>
      </c>
      <c r="B4" s="6"/>
      <c r="C4" s="6"/>
      <c r="D4" s="6"/>
      <c r="E4" s="6"/>
    </row>
    <row r="5" customFormat="false" ht="15" hidden="false" customHeight="true" outlineLevel="0" collapsed="false">
      <c r="A5" s="9" t="s">
        <v>110</v>
      </c>
      <c r="B5" s="9" t="s">
        <v>42</v>
      </c>
      <c r="C5" s="29" t="s">
        <v>542</v>
      </c>
      <c r="D5" s="29"/>
      <c r="E5" s="29"/>
    </row>
    <row r="6" customFormat="false" ht="15" hidden="false" customHeight="true" outlineLevel="0" collapsed="false">
      <c r="A6" s="4" t="s">
        <v>179</v>
      </c>
      <c r="B6" s="96" t="n">
        <f aca="false">Assumptions!B69</f>
        <v>19.99</v>
      </c>
      <c r="C6" s="33" t="s">
        <v>972</v>
      </c>
      <c r="D6" s="33"/>
      <c r="E6" s="33"/>
    </row>
    <row r="7" customFormat="false" ht="15" hidden="false" customHeight="true" outlineLevel="0" collapsed="false">
      <c r="A7" s="4" t="s">
        <v>973</v>
      </c>
      <c r="B7" s="97" t="n">
        <f aca="false">B6*Assumptions!B70</f>
        <v>15.992</v>
      </c>
      <c r="C7" s="33" t="s">
        <v>974</v>
      </c>
      <c r="D7" s="33"/>
      <c r="E7" s="33"/>
    </row>
    <row r="8" customFormat="false" ht="15" hidden="false" customHeight="true" outlineLevel="0" collapsed="false">
      <c r="A8" s="4" t="s">
        <v>975</v>
      </c>
      <c r="B8" s="97" t="n">
        <f aca="false">B7*(1-Assumptions!B71)</f>
        <v>14.71264</v>
      </c>
      <c r="C8" s="33"/>
      <c r="D8" s="33"/>
      <c r="E8" s="33"/>
    </row>
    <row r="9" customFormat="false" ht="15" hidden="false" customHeight="true" outlineLevel="0" collapsed="false">
      <c r="A9" s="4" t="s">
        <v>976</v>
      </c>
      <c r="B9" s="74" t="n">
        <f aca="false">Assumptions!B72*(1-Assumptions!B74)+Assumptions!B73*Assumptions!B74</f>
        <v>0.29</v>
      </c>
      <c r="C9" s="33" t="s">
        <v>977</v>
      </c>
      <c r="D9" s="33"/>
      <c r="E9" s="33"/>
    </row>
    <row r="10" customFormat="false" ht="15" hidden="false" customHeight="true" outlineLevel="0" collapsed="false">
      <c r="A10" s="20" t="s">
        <v>978</v>
      </c>
      <c r="B10" s="98" t="n">
        <f aca="false">B8*(1-B9)</f>
        <v>10.4459744</v>
      </c>
      <c r="C10" s="33" t="s">
        <v>979</v>
      </c>
      <c r="D10" s="33"/>
      <c r="E10" s="33"/>
    </row>
    <row r="12" customFormat="false" ht="15" hidden="false" customHeight="true" outlineLevel="0" collapsed="false">
      <c r="A12" s="6" t="s">
        <v>980</v>
      </c>
      <c r="B12" s="6"/>
      <c r="C12" s="6"/>
      <c r="D12" s="6"/>
      <c r="E12" s="6"/>
    </row>
    <row r="13" customFormat="false" ht="15" hidden="false" customHeight="true" outlineLevel="0" collapsed="false">
      <c r="A13" s="9" t="s">
        <v>110</v>
      </c>
      <c r="B13" s="9" t="s">
        <v>42</v>
      </c>
      <c r="C13" s="29" t="s">
        <v>542</v>
      </c>
      <c r="D13" s="29"/>
      <c r="E13" s="29"/>
    </row>
    <row r="14" customFormat="false" ht="15" hidden="false" customHeight="true" outlineLevel="0" collapsed="false">
      <c r="A14" s="4" t="s">
        <v>12</v>
      </c>
      <c r="B14" s="89" t="n">
        <f aca="false">TeamBudget!B36</f>
        <v>460504.8</v>
      </c>
      <c r="C14" s="33" t="s">
        <v>981</v>
      </c>
      <c r="D14" s="33"/>
      <c r="E14" s="33"/>
    </row>
    <row r="15" customFormat="false" ht="15" hidden="false" customHeight="true" outlineLevel="0" collapsed="false">
      <c r="A15" s="66" t="s">
        <v>982</v>
      </c>
      <c r="B15" s="99" t="n">
        <f aca="false">IF(B10=0,0,ROUNDUP(B14/B10,0))</f>
        <v>44085</v>
      </c>
      <c r="C15" s="33" t="s">
        <v>983</v>
      </c>
      <c r="D15" s="33"/>
      <c r="E15" s="33"/>
    </row>
    <row r="16" customFormat="false" ht="15" hidden="false" customHeight="true" outlineLevel="0" collapsed="false">
      <c r="A16" s="4" t="s">
        <v>984</v>
      </c>
      <c r="B16" s="89" t="n">
        <f aca="false">TeamBudget!B37</f>
        <v>98632.8</v>
      </c>
      <c r="C16" s="33" t="s">
        <v>985</v>
      </c>
      <c r="D16" s="33"/>
      <c r="E16" s="33"/>
    </row>
    <row r="17" customFormat="false" ht="15" hidden="false" customHeight="true" outlineLevel="0" collapsed="false">
      <c r="A17" s="66" t="s">
        <v>986</v>
      </c>
      <c r="B17" s="99" t="n">
        <f aca="false">IF(B10=0,0,ROUNDUP(B16/B10,0))</f>
        <v>9443</v>
      </c>
      <c r="C17" s="33" t="s">
        <v>987</v>
      </c>
      <c r="D17" s="33"/>
      <c r="E17" s="33"/>
    </row>
    <row r="18" customFormat="false" ht="15" hidden="false" customHeight="true" outlineLevel="0" collapsed="false">
      <c r="A18" s="4" t="s">
        <v>988</v>
      </c>
      <c r="B18" s="90" t="n">
        <f aca="false">B15*B6</f>
        <v>881259.15</v>
      </c>
      <c r="C18" s="33" t="s">
        <v>989</v>
      </c>
      <c r="D18" s="33"/>
      <c r="E18" s="33"/>
    </row>
    <row r="20" customFormat="false" ht="15" hidden="false" customHeight="true" outlineLevel="0" collapsed="false">
      <c r="A20" s="6" t="s">
        <v>990</v>
      </c>
      <c r="B20" s="6"/>
      <c r="C20" s="6"/>
      <c r="D20" s="6"/>
      <c r="E20" s="6"/>
    </row>
    <row r="21" customFormat="false" ht="15" hidden="false" customHeight="true" outlineLevel="0" collapsed="false">
      <c r="A21" s="9" t="s">
        <v>991</v>
      </c>
      <c r="B21" s="9" t="s">
        <v>992</v>
      </c>
      <c r="C21" s="9" t="s">
        <v>993</v>
      </c>
      <c r="D21" s="9" t="s">
        <v>994</v>
      </c>
      <c r="E21" s="9" t="s">
        <v>904</v>
      </c>
    </row>
    <row r="22" customFormat="false" ht="15" hidden="false" customHeight="true" outlineLevel="0" collapsed="false">
      <c r="A22" s="61" t="n">
        <f aca="false">Assumptions!B77</f>
        <v>2000</v>
      </c>
      <c r="B22" s="90" t="n">
        <f aca="false">A22*$B$10</f>
        <v>20891.9488</v>
      </c>
      <c r="C22" s="100" t="n">
        <f aca="false">B22-$B$14</f>
        <v>-439612.8512</v>
      </c>
      <c r="D22" s="100" t="n">
        <f aca="false">B22-$B$16</f>
        <v>-77740.8512</v>
      </c>
      <c r="E22" s="58" t="str">
        <f aca="false">IF(C22&gt;=0,"Pays everyone; funds the next hull",IF(D22&gt;=0,"Cash back; labor partly unpaid","Short of cash"))</f>
        <v>Short of cash</v>
      </c>
    </row>
    <row r="23" customFormat="false" ht="15" hidden="false" customHeight="true" outlineLevel="0" collapsed="false">
      <c r="A23" s="61" t="n">
        <f aca="false">Assumptions!B78</f>
        <v>5000</v>
      </c>
      <c r="B23" s="90" t="n">
        <f aca="false">A23*$B$10</f>
        <v>52229.872</v>
      </c>
      <c r="C23" s="100" t="n">
        <f aca="false">B23-$B$14</f>
        <v>-408274.928</v>
      </c>
      <c r="D23" s="100" t="n">
        <f aca="false">B23-$B$16</f>
        <v>-46402.928</v>
      </c>
      <c r="E23" s="27" t="str">
        <f aca="false">IF(C23&gt;=0,"Pays everyone; funds the next hull",IF(D23&gt;=0,"Cash back; labor partly unpaid","Short of cash"))</f>
        <v>Short of cash</v>
      </c>
    </row>
    <row r="24" customFormat="false" ht="15" hidden="false" customHeight="true" outlineLevel="0" collapsed="false">
      <c r="A24" s="61" t="n">
        <f aca="false">Assumptions!B79</f>
        <v>10000</v>
      </c>
      <c r="B24" s="90" t="n">
        <f aca="false">A24*$B$10</f>
        <v>104459.744</v>
      </c>
      <c r="C24" s="100" t="n">
        <f aca="false">B24-$B$14</f>
        <v>-356045.056</v>
      </c>
      <c r="D24" s="100" t="n">
        <f aca="false">B24-$B$16</f>
        <v>5826.94399999999</v>
      </c>
      <c r="E24" s="58" t="str">
        <f aca="false">IF(C24&gt;=0,"Pays everyone; funds the next hull",IF(D24&gt;=0,"Cash back; labor partly unpaid","Short of cash"))</f>
        <v>Cash back; labor partly unpaid</v>
      </c>
    </row>
    <row r="25" customFormat="false" ht="15" hidden="false" customHeight="true" outlineLevel="0" collapsed="false">
      <c r="A25" s="61" t="n">
        <f aca="false">Assumptions!B80</f>
        <v>25000</v>
      </c>
      <c r="B25" s="90" t="n">
        <f aca="false">A25*$B$10</f>
        <v>261149.36</v>
      </c>
      <c r="C25" s="100" t="n">
        <f aca="false">B25-$B$14</f>
        <v>-199355.44</v>
      </c>
      <c r="D25" s="100" t="n">
        <f aca="false">B25-$B$16</f>
        <v>162516.56</v>
      </c>
      <c r="E25" s="27" t="str">
        <f aca="false">IF(C25&gt;=0,"Pays everyone; funds the next hull",IF(D25&gt;=0,"Cash back; labor partly unpaid","Short of cash"))</f>
        <v>Cash back; labor partly unpaid</v>
      </c>
    </row>
    <row r="26" customFormat="false" ht="15" hidden="false" customHeight="true" outlineLevel="0" collapsed="false">
      <c r="A26" s="61" t="n">
        <f aca="false">Assumptions!B81</f>
        <v>50000</v>
      </c>
      <c r="B26" s="90" t="n">
        <f aca="false">A26*$B$10</f>
        <v>522298.72</v>
      </c>
      <c r="C26" s="100" t="n">
        <f aca="false">B26-$B$14</f>
        <v>61793.92</v>
      </c>
      <c r="D26" s="100" t="n">
        <f aca="false">B26-$B$16</f>
        <v>423665.92</v>
      </c>
      <c r="E26" s="58" t="str">
        <f aca="false">IF(C26&gt;=0,"Pays everyone; funds the next hull",IF(D26&gt;=0,"Cash back; labor partly unpaid","Short of cash"))</f>
        <v>Pays everyone; funds the next hull</v>
      </c>
    </row>
    <row r="28" customFormat="false" ht="39.75" hidden="false" customHeight="true" outlineLevel="0" collapsed="false">
      <c r="A28" s="54" t="s">
        <v>995</v>
      </c>
      <c r="B28" s="54"/>
      <c r="C28" s="54"/>
      <c r="D28" s="54"/>
      <c r="E28" s="54"/>
    </row>
  </sheetData>
  <mergeCells count="18">
    <mergeCell ref="A1:E1"/>
    <mergeCell ref="A2:E2"/>
    <mergeCell ref="A4:E4"/>
    <mergeCell ref="C5:E5"/>
    <mergeCell ref="C6:E6"/>
    <mergeCell ref="C7:E7"/>
    <mergeCell ref="C8:E8"/>
    <mergeCell ref="C9:E9"/>
    <mergeCell ref="C10:E10"/>
    <mergeCell ref="A12:E12"/>
    <mergeCell ref="C13:E13"/>
    <mergeCell ref="C14:E14"/>
    <mergeCell ref="C15:E15"/>
    <mergeCell ref="C16:E16"/>
    <mergeCell ref="C17:E17"/>
    <mergeCell ref="C18:E18"/>
    <mergeCell ref="A20:E20"/>
    <mergeCell ref="A28:E28"/>
  </mergeCells>
  <conditionalFormatting sqref="E22:E26">
    <cfRule type="expression" priority="2" aboveAverage="0" equalAverage="0" bottom="0" percent="0" rank="0" text="" dxfId="0">
      <formula>$C22&gt;=0</formula>
    </cfRule>
    <cfRule type="expression" priority="3" aboveAverage="0" equalAverage="0" bottom="0" percent="0" rank="0" text="" dxfId="1">
      <formula>AND($C22&lt;0,$D22&gt;=0)</formula>
    </cfRule>
    <cfRule type="expression" priority="4" aboveAverage="0" equalAverage="0" bottom="0" percent="0" rank="0" text="" dxfId="2">
      <formula>$D22&lt;0</formula>
    </cfRule>
  </conditionalFormatting>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3E26"/>
    <pageSetUpPr fitToPage="true"/>
  </sheetPr>
  <dimension ref="A1:H1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78"/>
    <col collapsed="false" customWidth="true" hidden="false" outlineLevel="0" max="4" min="4" style="1" width="28"/>
    <col collapsed="false" customWidth="true" hidden="false" outlineLevel="0" max="5" min="5" style="1" width="16"/>
    <col collapsed="false" customWidth="true" hidden="false" outlineLevel="0" max="6" min="6" style="1" width="14"/>
    <col collapsed="false" customWidth="true" hidden="false" outlineLevel="0" max="7" min="7" style="1" width="46"/>
    <col collapsed="false" customWidth="true" hidden="false" outlineLevel="0" max="8" min="8" style="1" width="22"/>
  </cols>
  <sheetData>
    <row r="1" customFormat="false" ht="31.5" hidden="false" customHeight="true" outlineLevel="0" collapsed="false">
      <c r="A1" s="2" t="s">
        <v>0</v>
      </c>
      <c r="B1" s="2"/>
      <c r="C1" s="2"/>
      <c r="D1" s="2"/>
      <c r="E1" s="2"/>
      <c r="F1" s="2"/>
      <c r="G1" s="2"/>
      <c r="H1" s="2"/>
    </row>
    <row r="2" customFormat="false" ht="19.5" hidden="false" customHeight="true" outlineLevel="0" collapsed="false">
      <c r="A2" s="3" t="s">
        <v>996</v>
      </c>
      <c r="B2" s="3"/>
      <c r="C2" s="3"/>
      <c r="D2" s="3"/>
      <c r="E2" s="3"/>
      <c r="F2" s="3"/>
      <c r="G2" s="3"/>
      <c r="H2" s="3"/>
    </row>
    <row r="4" customFormat="false" ht="15" hidden="false" customHeight="true" outlineLevel="0" collapsed="false">
      <c r="A4" s="57" t="s">
        <v>914</v>
      </c>
      <c r="B4" s="57" t="s">
        <v>997</v>
      </c>
      <c r="C4" s="57" t="s">
        <v>998</v>
      </c>
      <c r="D4" s="57" t="s">
        <v>999</v>
      </c>
      <c r="E4" s="57" t="s">
        <v>698</v>
      </c>
      <c r="F4" s="9" t="s">
        <v>44</v>
      </c>
      <c r="G4" s="9" t="s">
        <v>1000</v>
      </c>
      <c r="H4" s="9" t="s">
        <v>1001</v>
      </c>
    </row>
    <row r="5" customFormat="false" ht="36" hidden="false" customHeight="true" outlineLevel="0" collapsed="false">
      <c r="A5" s="27" t="s">
        <v>918</v>
      </c>
      <c r="B5" s="86" t="n">
        <f aca="false">Schedule!D5</f>
        <v>46383</v>
      </c>
      <c r="C5" s="27" t="s">
        <v>1002</v>
      </c>
      <c r="D5" s="27" t="s">
        <v>1003</v>
      </c>
      <c r="E5" s="27" t="s">
        <v>371</v>
      </c>
      <c r="F5" s="69" t="s">
        <v>1004</v>
      </c>
      <c r="G5" s="27" t="s">
        <v>1005</v>
      </c>
      <c r="H5" s="27" t="s">
        <v>1006</v>
      </c>
    </row>
    <row r="6" customFormat="false" ht="36" hidden="false" customHeight="true" outlineLevel="0" collapsed="false">
      <c r="A6" s="58" t="s">
        <v>922</v>
      </c>
      <c r="B6" s="86" t="n">
        <f aca="false">Schedule!D6</f>
        <v>46453</v>
      </c>
      <c r="C6" s="58" t="s">
        <v>1007</v>
      </c>
      <c r="D6" s="58" t="s">
        <v>1008</v>
      </c>
      <c r="E6" s="58" t="s">
        <v>710</v>
      </c>
      <c r="F6" s="69" t="s">
        <v>1004</v>
      </c>
      <c r="G6" s="58" t="s">
        <v>1009</v>
      </c>
      <c r="H6" s="58" t="s">
        <v>1010</v>
      </c>
    </row>
    <row r="7" customFormat="false" ht="36" hidden="false" customHeight="true" outlineLevel="0" collapsed="false">
      <c r="A7" s="27" t="s">
        <v>926</v>
      </c>
      <c r="B7" s="86" t="n">
        <f aca="false">Schedule!D7</f>
        <v>46579</v>
      </c>
      <c r="C7" s="27" t="s">
        <v>1011</v>
      </c>
      <c r="D7" s="27" t="s">
        <v>1012</v>
      </c>
      <c r="E7" s="27" t="s">
        <v>371</v>
      </c>
      <c r="F7" s="69" t="s">
        <v>722</v>
      </c>
      <c r="G7" s="27" t="s">
        <v>1013</v>
      </c>
      <c r="H7" s="27" t="s">
        <v>1014</v>
      </c>
    </row>
    <row r="8" customFormat="false" ht="36" hidden="false" customHeight="true" outlineLevel="0" collapsed="false">
      <c r="A8" s="58" t="s">
        <v>930</v>
      </c>
      <c r="B8" s="86" t="n">
        <f aca="false">Schedule!D8</f>
        <v>46621</v>
      </c>
      <c r="C8" s="58" t="s">
        <v>1015</v>
      </c>
      <c r="D8" s="58" t="s">
        <v>1016</v>
      </c>
      <c r="E8" s="58" t="s">
        <v>100</v>
      </c>
      <c r="F8" s="69" t="s">
        <v>718</v>
      </c>
      <c r="G8" s="58" t="s">
        <v>1017</v>
      </c>
      <c r="H8" s="58" t="s">
        <v>1018</v>
      </c>
    </row>
    <row r="9" customFormat="false" ht="36" hidden="false" customHeight="true" outlineLevel="0" collapsed="false">
      <c r="A9" s="27" t="s">
        <v>934</v>
      </c>
      <c r="B9" s="86" t="n">
        <f aca="false">Schedule!D9</f>
        <v>46663</v>
      </c>
      <c r="C9" s="27" t="s">
        <v>1019</v>
      </c>
      <c r="D9" s="27" t="s">
        <v>1020</v>
      </c>
      <c r="E9" s="27" t="s">
        <v>865</v>
      </c>
      <c r="F9" s="69" t="s">
        <v>718</v>
      </c>
      <c r="G9" s="27" t="s">
        <v>1021</v>
      </c>
      <c r="H9" s="27" t="s">
        <v>1022</v>
      </c>
    </row>
    <row r="10" customFormat="false" ht="36" hidden="false" customHeight="true" outlineLevel="0" collapsed="false">
      <c r="A10" s="58" t="s">
        <v>937</v>
      </c>
      <c r="B10" s="86" t="n">
        <f aca="false">Schedule!D10</f>
        <v>46691</v>
      </c>
      <c r="C10" s="58" t="s">
        <v>1023</v>
      </c>
      <c r="D10" s="58" t="s">
        <v>1024</v>
      </c>
      <c r="E10" s="58" t="s">
        <v>100</v>
      </c>
      <c r="F10" s="69" t="s">
        <v>718</v>
      </c>
      <c r="G10" s="58" t="s">
        <v>1025</v>
      </c>
      <c r="H10" s="58" t="s">
        <v>476</v>
      </c>
    </row>
    <row r="12" customFormat="false" ht="27" hidden="false" customHeight="true" outlineLevel="0" collapsed="false">
      <c r="A12" s="54" t="s">
        <v>1026</v>
      </c>
      <c r="B12" s="54"/>
      <c r="C12" s="54"/>
      <c r="D12" s="54"/>
      <c r="E12" s="54"/>
      <c r="F12" s="54"/>
      <c r="G12" s="54"/>
      <c r="H12" s="54"/>
    </row>
  </sheetData>
  <mergeCells count="3">
    <mergeCell ref="A1:H1"/>
    <mergeCell ref="A2:H2"/>
    <mergeCell ref="A12:H12"/>
  </mergeCells>
  <conditionalFormatting sqref="F5:F10">
    <cfRule type="cellIs" priority="2" operator="equal" aboveAverage="0" equalAverage="0" bottom="0" percent="0" rank="0" text="" dxfId="0">
      <formula>"Passed"</formula>
    </cfRule>
    <cfRule type="cellIs" priority="3" operator="equal" aboveAverage="0" equalAverage="0" bottom="0" percent="0" rank="0" text="" dxfId="1">
      <formula>"In progress"</formula>
    </cfRule>
    <cfRule type="cellIs" priority="4" operator="equal" aboveAverage="0" equalAverage="0" bottom="0" percent="0" rank="0" text="" dxfId="2">
      <formula>"Failed"</formula>
    </cfRule>
  </conditionalFormatting>
  <dataValidations count="1">
    <dataValidation allowBlank="true" errorStyle="stop" operator="between" showDropDown="false" showErrorMessage="false" showInputMessage="false" sqref="F5:F10" type="list">
      <formula1>"Not started,In progress,Passed,Failed"</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2F2F"/>
    <pageSetUpPr fitToPage="true"/>
  </sheetPr>
  <dimension ref="A1:J2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3" min="3" style="1" width="14"/>
    <col collapsed="false" customWidth="true" hidden="false" outlineLevel="0" max="4" min="4" style="1" width="12"/>
    <col collapsed="false" customWidth="true" hidden="false" outlineLevel="0" max="5" min="5" style="1" width="10"/>
    <col collapsed="false" customWidth="true" hidden="false" outlineLevel="0" max="6" min="6" style="1" width="62"/>
    <col collapsed="false" customWidth="true" hidden="false" outlineLevel="0" max="7" min="7" style="1" width="16"/>
    <col collapsed="false" customWidth="true" hidden="false" outlineLevel="0" max="8" min="8" style="1" width="12"/>
    <col collapsed="false" customWidth="true" hidden="false" outlineLevel="0" max="9" min="9" style="1" width="44"/>
    <col collapsed="false" customWidth="true" hidden="false" outlineLevel="0" max="10" min="10" style="1" width="12"/>
  </cols>
  <sheetData>
    <row r="1" customFormat="false" ht="31.5" hidden="false" customHeight="true" outlineLevel="0" collapsed="false">
      <c r="A1" s="2" t="s">
        <v>0</v>
      </c>
      <c r="B1" s="2"/>
      <c r="C1" s="2"/>
      <c r="D1" s="2"/>
      <c r="E1" s="2"/>
      <c r="F1" s="2"/>
      <c r="G1" s="2"/>
      <c r="H1" s="2"/>
      <c r="I1" s="2"/>
      <c r="J1" s="2"/>
    </row>
    <row r="2" customFormat="false" ht="19.5" hidden="false" customHeight="true" outlineLevel="0" collapsed="false">
      <c r="A2" s="3" t="s">
        <v>1027</v>
      </c>
      <c r="B2" s="3"/>
      <c r="C2" s="3"/>
      <c r="D2" s="3"/>
      <c r="E2" s="3"/>
      <c r="F2" s="3"/>
      <c r="G2" s="3"/>
      <c r="H2" s="3"/>
      <c r="I2" s="3"/>
      <c r="J2" s="3"/>
    </row>
    <row r="4" customFormat="false" ht="15" hidden="false" customHeight="true" outlineLevel="0" collapsed="false">
      <c r="A4" s="57" t="s">
        <v>362</v>
      </c>
      <c r="B4" s="57" t="s">
        <v>1028</v>
      </c>
      <c r="C4" s="57" t="s">
        <v>1029</v>
      </c>
      <c r="D4" s="57" t="s">
        <v>1030</v>
      </c>
      <c r="E4" s="57" t="s">
        <v>512</v>
      </c>
      <c r="F4" s="57" t="s">
        <v>1031</v>
      </c>
      <c r="G4" s="57" t="s">
        <v>698</v>
      </c>
      <c r="H4" s="57" t="s">
        <v>1032</v>
      </c>
      <c r="I4" s="9" t="s">
        <v>1033</v>
      </c>
      <c r="J4" s="9" t="s">
        <v>44</v>
      </c>
    </row>
    <row r="5" customFormat="false" ht="31.5" hidden="false" customHeight="true" outlineLevel="0" collapsed="false">
      <c r="A5" s="58" t="s">
        <v>1034</v>
      </c>
      <c r="B5" s="58" t="s">
        <v>1035</v>
      </c>
      <c r="C5" s="43" t="n">
        <v>3</v>
      </c>
      <c r="D5" s="43" t="n">
        <v>5</v>
      </c>
      <c r="E5" s="32" t="n">
        <f aca="false">C5*D5</f>
        <v>15</v>
      </c>
      <c r="F5" s="58" t="s">
        <v>1036</v>
      </c>
      <c r="G5" s="58" t="s">
        <v>371</v>
      </c>
      <c r="H5" s="58" t="s">
        <v>922</v>
      </c>
      <c r="I5" s="58" t="s">
        <v>1037</v>
      </c>
      <c r="J5" s="69" t="s">
        <v>1038</v>
      </c>
    </row>
    <row r="6" customFormat="false" ht="31.5" hidden="false" customHeight="true" outlineLevel="0" collapsed="false">
      <c r="A6" s="58" t="s">
        <v>1039</v>
      </c>
      <c r="B6" s="58" t="s">
        <v>1040</v>
      </c>
      <c r="C6" s="43" t="n">
        <v>3</v>
      </c>
      <c r="D6" s="43" t="n">
        <v>4</v>
      </c>
      <c r="E6" s="32" t="n">
        <f aca="false">C6*D6</f>
        <v>12</v>
      </c>
      <c r="F6" s="58" t="s">
        <v>1041</v>
      </c>
      <c r="G6" s="58" t="s">
        <v>371</v>
      </c>
      <c r="H6" s="58" t="s">
        <v>922</v>
      </c>
      <c r="I6" s="58" t="s">
        <v>1042</v>
      </c>
      <c r="J6" s="69" t="s">
        <v>1043</v>
      </c>
    </row>
    <row r="7" customFormat="false" ht="31.5" hidden="false" customHeight="true" outlineLevel="0" collapsed="false">
      <c r="A7" s="58" t="s">
        <v>1044</v>
      </c>
      <c r="B7" s="58" t="s">
        <v>1045</v>
      </c>
      <c r="C7" s="43" t="n">
        <v>2</v>
      </c>
      <c r="D7" s="43" t="n">
        <v>4</v>
      </c>
      <c r="E7" s="32" t="n">
        <f aca="false">C7*D7</f>
        <v>8</v>
      </c>
      <c r="F7" s="58" t="s">
        <v>1046</v>
      </c>
      <c r="G7" s="58" t="s">
        <v>710</v>
      </c>
      <c r="H7" s="58" t="s">
        <v>934</v>
      </c>
      <c r="I7" s="58" t="s">
        <v>1047</v>
      </c>
      <c r="J7" s="69" t="s">
        <v>1043</v>
      </c>
    </row>
    <row r="8" customFormat="false" ht="31.5" hidden="false" customHeight="true" outlineLevel="0" collapsed="false">
      <c r="A8" s="58" t="s">
        <v>1048</v>
      </c>
      <c r="B8" s="58" t="s">
        <v>1049</v>
      </c>
      <c r="C8" s="43" t="n">
        <v>4</v>
      </c>
      <c r="D8" s="43" t="n">
        <v>3</v>
      </c>
      <c r="E8" s="32" t="n">
        <f aca="false">C8*D8</f>
        <v>12</v>
      </c>
      <c r="F8" s="58" t="s">
        <v>1050</v>
      </c>
      <c r="G8" s="58" t="s">
        <v>100</v>
      </c>
      <c r="H8" s="58" t="s">
        <v>926</v>
      </c>
      <c r="I8" s="58" t="s">
        <v>1051</v>
      </c>
      <c r="J8" s="69" t="s">
        <v>1043</v>
      </c>
    </row>
    <row r="9" customFormat="false" ht="31.5" hidden="false" customHeight="true" outlineLevel="0" collapsed="false">
      <c r="A9" s="58" t="s">
        <v>1052</v>
      </c>
      <c r="B9" s="58" t="s">
        <v>1053</v>
      </c>
      <c r="C9" s="43" t="n">
        <v>2</v>
      </c>
      <c r="D9" s="43" t="n">
        <v>3</v>
      </c>
      <c r="E9" s="32" t="n">
        <f aca="false">C9*D9</f>
        <v>6</v>
      </c>
      <c r="F9" s="58" t="s">
        <v>1054</v>
      </c>
      <c r="G9" s="58" t="s">
        <v>717</v>
      </c>
      <c r="H9" s="58" t="s">
        <v>926</v>
      </c>
      <c r="I9" s="58" t="s">
        <v>1055</v>
      </c>
      <c r="J9" s="69" t="s">
        <v>1043</v>
      </c>
    </row>
    <row r="10" customFormat="false" ht="31.5" hidden="false" customHeight="true" outlineLevel="0" collapsed="false">
      <c r="A10" s="58" t="s">
        <v>1056</v>
      </c>
      <c r="B10" s="58" t="s">
        <v>1057</v>
      </c>
      <c r="C10" s="43" t="n">
        <v>2</v>
      </c>
      <c r="D10" s="43" t="n">
        <v>5</v>
      </c>
      <c r="E10" s="32" t="n">
        <f aca="false">C10*D10</f>
        <v>10</v>
      </c>
      <c r="F10" s="58" t="s">
        <v>1058</v>
      </c>
      <c r="G10" s="58" t="s">
        <v>371</v>
      </c>
      <c r="H10" s="58" t="s">
        <v>926</v>
      </c>
      <c r="I10" s="58" t="s">
        <v>1059</v>
      </c>
      <c r="J10" s="69" t="s">
        <v>1043</v>
      </c>
    </row>
    <row r="11" customFormat="false" ht="31.5" hidden="false" customHeight="true" outlineLevel="0" collapsed="false">
      <c r="A11" s="58" t="s">
        <v>1060</v>
      </c>
      <c r="B11" s="58" t="s">
        <v>1061</v>
      </c>
      <c r="C11" s="43" t="n">
        <v>3</v>
      </c>
      <c r="D11" s="43" t="n">
        <v>4</v>
      </c>
      <c r="E11" s="32" t="n">
        <f aca="false">C11*D11</f>
        <v>12</v>
      </c>
      <c r="F11" s="58" t="s">
        <v>1062</v>
      </c>
      <c r="G11" s="58" t="s">
        <v>100</v>
      </c>
      <c r="H11" s="58" t="s">
        <v>930</v>
      </c>
      <c r="I11" s="58" t="s">
        <v>1063</v>
      </c>
      <c r="J11" s="69" t="s">
        <v>1043</v>
      </c>
    </row>
    <row r="12" customFormat="false" ht="31.5" hidden="false" customHeight="true" outlineLevel="0" collapsed="false">
      <c r="A12" s="58" t="s">
        <v>1064</v>
      </c>
      <c r="B12" s="58" t="s">
        <v>1065</v>
      </c>
      <c r="C12" s="43" t="n">
        <v>2</v>
      </c>
      <c r="D12" s="43" t="n">
        <v>4</v>
      </c>
      <c r="E12" s="32" t="n">
        <f aca="false">C12*D12</f>
        <v>8</v>
      </c>
      <c r="F12" s="58" t="s">
        <v>1066</v>
      </c>
      <c r="G12" s="58" t="s">
        <v>710</v>
      </c>
      <c r="H12" s="58" t="s">
        <v>918</v>
      </c>
      <c r="I12" s="58" t="s">
        <v>1067</v>
      </c>
      <c r="J12" s="69" t="s">
        <v>1043</v>
      </c>
    </row>
    <row r="13" customFormat="false" ht="31.5" hidden="false" customHeight="true" outlineLevel="0" collapsed="false">
      <c r="A13" s="58" t="s">
        <v>1068</v>
      </c>
      <c r="B13" s="58" t="s">
        <v>1069</v>
      </c>
      <c r="C13" s="43" t="n">
        <v>2</v>
      </c>
      <c r="D13" s="43" t="n">
        <v>2</v>
      </c>
      <c r="E13" s="32" t="n">
        <f aca="false">C13*D13</f>
        <v>4</v>
      </c>
      <c r="F13" s="58" t="s">
        <v>1070</v>
      </c>
      <c r="G13" s="58" t="s">
        <v>371</v>
      </c>
      <c r="H13" s="58" t="s">
        <v>918</v>
      </c>
      <c r="I13" s="58" t="s">
        <v>1071</v>
      </c>
      <c r="J13" s="69" t="s">
        <v>1043</v>
      </c>
    </row>
    <row r="14" customFormat="false" ht="31.5" hidden="false" customHeight="true" outlineLevel="0" collapsed="false">
      <c r="A14" s="58" t="s">
        <v>1072</v>
      </c>
      <c r="B14" s="58" t="s">
        <v>1073</v>
      </c>
      <c r="C14" s="43" t="n">
        <v>3</v>
      </c>
      <c r="D14" s="43" t="n">
        <v>4</v>
      </c>
      <c r="E14" s="32" t="n">
        <f aca="false">C14*D14</f>
        <v>12</v>
      </c>
      <c r="F14" s="58" t="s">
        <v>1074</v>
      </c>
      <c r="G14" s="58" t="s">
        <v>371</v>
      </c>
      <c r="H14" s="58" t="s">
        <v>930</v>
      </c>
      <c r="I14" s="58" t="s">
        <v>1075</v>
      </c>
      <c r="J14" s="69" t="s">
        <v>1043</v>
      </c>
    </row>
    <row r="15" customFormat="false" ht="31.5" hidden="false" customHeight="true" outlineLevel="0" collapsed="false">
      <c r="A15" s="58" t="s">
        <v>1076</v>
      </c>
      <c r="B15" s="58" t="s">
        <v>1077</v>
      </c>
      <c r="C15" s="43" t="n">
        <v>3</v>
      </c>
      <c r="D15" s="43" t="n">
        <v>5</v>
      </c>
      <c r="E15" s="32" t="n">
        <f aca="false">C15*D15</f>
        <v>15</v>
      </c>
      <c r="F15" s="58" t="s">
        <v>1078</v>
      </c>
      <c r="G15" s="58" t="s">
        <v>371</v>
      </c>
      <c r="H15" s="58" t="s">
        <v>926</v>
      </c>
      <c r="I15" s="58" t="s">
        <v>1079</v>
      </c>
      <c r="J15" s="69" t="s">
        <v>1043</v>
      </c>
    </row>
    <row r="16" customFormat="false" ht="31.5" hidden="false" customHeight="true" outlineLevel="0" collapsed="false">
      <c r="A16" s="58" t="s">
        <v>1080</v>
      </c>
      <c r="B16" s="58" t="s">
        <v>1081</v>
      </c>
      <c r="C16" s="43" t="n">
        <v>4</v>
      </c>
      <c r="D16" s="43" t="n">
        <v>4</v>
      </c>
      <c r="E16" s="32" t="n">
        <f aca="false">C16*D16</f>
        <v>16</v>
      </c>
      <c r="F16" s="58" t="s">
        <v>1082</v>
      </c>
      <c r="G16" s="58" t="s">
        <v>100</v>
      </c>
      <c r="H16" s="58" t="s">
        <v>922</v>
      </c>
      <c r="I16" s="58" t="s">
        <v>1083</v>
      </c>
      <c r="J16" s="69" t="s">
        <v>1043</v>
      </c>
    </row>
    <row r="17" customFormat="false" ht="31.5" hidden="false" customHeight="true" outlineLevel="0" collapsed="false">
      <c r="A17" s="58" t="s">
        <v>1084</v>
      </c>
      <c r="B17" s="58" t="s">
        <v>1085</v>
      </c>
      <c r="C17" s="43" t="n">
        <v>3</v>
      </c>
      <c r="D17" s="43" t="n">
        <v>4</v>
      </c>
      <c r="E17" s="32" t="n">
        <f aca="false">C17*D17</f>
        <v>12</v>
      </c>
      <c r="F17" s="58" t="s">
        <v>1086</v>
      </c>
      <c r="G17" s="58" t="s">
        <v>100</v>
      </c>
      <c r="H17" s="58" t="s">
        <v>926</v>
      </c>
      <c r="I17" s="58" t="s">
        <v>1087</v>
      </c>
      <c r="J17" s="69" t="s">
        <v>1043</v>
      </c>
    </row>
    <row r="18" customFormat="false" ht="31.5" hidden="false" customHeight="true" outlineLevel="0" collapsed="false">
      <c r="A18" s="58" t="s">
        <v>1088</v>
      </c>
      <c r="B18" s="58" t="s">
        <v>1089</v>
      </c>
      <c r="C18" s="43" t="n">
        <v>2</v>
      </c>
      <c r="D18" s="43" t="n">
        <v>3</v>
      </c>
      <c r="E18" s="32" t="n">
        <f aca="false">C18*D18</f>
        <v>6</v>
      </c>
      <c r="F18" s="58" t="s">
        <v>1090</v>
      </c>
      <c r="G18" s="58" t="s">
        <v>371</v>
      </c>
      <c r="H18" s="58" t="s">
        <v>934</v>
      </c>
      <c r="I18" s="58" t="s">
        <v>1091</v>
      </c>
      <c r="J18" s="69" t="s">
        <v>1043</v>
      </c>
    </row>
    <row r="19" customFormat="false" ht="31.5" hidden="false" customHeight="true" outlineLevel="0" collapsed="false">
      <c r="A19" s="58" t="s">
        <v>1092</v>
      </c>
      <c r="B19" s="58" t="s">
        <v>1093</v>
      </c>
      <c r="C19" s="43" t="n">
        <v>2</v>
      </c>
      <c r="D19" s="43" t="n">
        <v>4</v>
      </c>
      <c r="E19" s="32" t="n">
        <f aca="false">C19*D19</f>
        <v>8</v>
      </c>
      <c r="F19" s="58" t="s">
        <v>1094</v>
      </c>
      <c r="G19" s="58" t="s">
        <v>710</v>
      </c>
      <c r="H19" s="58" t="s">
        <v>926</v>
      </c>
      <c r="I19" s="58" t="s">
        <v>1095</v>
      </c>
      <c r="J19" s="69" t="s">
        <v>1043</v>
      </c>
    </row>
    <row r="20" customFormat="false" ht="31.5" hidden="false" customHeight="true" outlineLevel="0" collapsed="false">
      <c r="A20" s="58" t="s">
        <v>1096</v>
      </c>
      <c r="B20" s="58" t="s">
        <v>1097</v>
      </c>
      <c r="C20" s="43" t="n">
        <v>3</v>
      </c>
      <c r="D20" s="43" t="n">
        <v>5</v>
      </c>
      <c r="E20" s="32" t="n">
        <f aca="false">C20*D20</f>
        <v>15</v>
      </c>
      <c r="F20" s="58" t="s">
        <v>1098</v>
      </c>
      <c r="G20" s="58" t="s">
        <v>100</v>
      </c>
      <c r="H20" s="58" t="s">
        <v>922</v>
      </c>
      <c r="I20" s="58" t="s">
        <v>1099</v>
      </c>
      <c r="J20" s="69" t="s">
        <v>1043</v>
      </c>
    </row>
  </sheetData>
  <autoFilter ref="A4:J20"/>
  <mergeCells count="2">
    <mergeCell ref="A1:J1"/>
    <mergeCell ref="A2:J2"/>
  </mergeCells>
  <conditionalFormatting sqref="E5:E20">
    <cfRule type="colorScale" priority="2">
      <colorScale>
        <cfvo type="num" val="1"/>
        <cfvo type="num" val="12"/>
        <cfvo type="num" val="25"/>
        <color rgb="FFC6D9C4"/>
        <color rgb="FFF0D9A0"/>
        <color rgb="FFE0A0A0"/>
      </colorScale>
    </cfRule>
  </conditionalFormatting>
  <conditionalFormatting sqref="J5:J20">
    <cfRule type="cellIs" priority="3" operator="equal" aboveAverage="0" equalAverage="0" bottom="0" percent="0" rank="0" text="" dxfId="15">
      <formula>"Closed"</formula>
    </cfRule>
  </conditionalFormatting>
  <dataValidations count="2">
    <dataValidation allowBlank="true" errorStyle="stop" operator="between" showDropDown="false" showErrorMessage="false" showInputMessage="false" sqref="J5:J20" type="list">
      <formula1>"Open,Watching,Closed"</formula1>
      <formula2>0</formula2>
    </dataValidation>
    <dataValidation allowBlank="false" errorStyle="stop" operator="between" showDropDown="false" showErrorMessage="false" showInputMessage="false" sqref="C5:D20" type="whole">
      <formula1>1</formula1>
      <formula2>5</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F4E"/>
    <pageSetUpPr fitToPage="true"/>
  </sheetPr>
  <dimension ref="A1:G1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48"/>
    <col collapsed="false" customWidth="true" hidden="false" outlineLevel="0" max="4" min="4" style="1" width="32"/>
    <col collapsed="false" customWidth="true" hidden="false" outlineLevel="0" max="5" min="5" style="1" width="42"/>
    <col collapsed="false" customWidth="true" hidden="false" outlineLevel="0" max="6" min="6" style="1" width="16"/>
    <col collapsed="false" customWidth="true" hidden="false" outlineLevel="0" max="7" min="7" style="1" width="22"/>
  </cols>
  <sheetData>
    <row r="1" customFormat="false" ht="31.5" hidden="false" customHeight="true" outlineLevel="0" collapsed="false">
      <c r="A1" s="2" t="s">
        <v>0</v>
      </c>
      <c r="B1" s="2"/>
      <c r="C1" s="2"/>
      <c r="D1" s="2"/>
      <c r="E1" s="2"/>
      <c r="F1" s="2"/>
      <c r="G1" s="2"/>
    </row>
    <row r="2" customFormat="false" ht="19.5" hidden="false" customHeight="true" outlineLevel="0" collapsed="false">
      <c r="A2" s="3" t="s">
        <v>1100</v>
      </c>
      <c r="B2" s="3"/>
      <c r="C2" s="3"/>
      <c r="D2" s="3"/>
      <c r="E2" s="3"/>
      <c r="F2" s="3"/>
      <c r="G2" s="3"/>
    </row>
    <row r="4" customFormat="false" ht="15" hidden="false" customHeight="true" outlineLevel="0" collapsed="false">
      <c r="A4" s="57" t="s">
        <v>1101</v>
      </c>
      <c r="B4" s="57" t="s">
        <v>1102</v>
      </c>
      <c r="C4" s="57" t="s">
        <v>1103</v>
      </c>
      <c r="D4" s="57" t="s">
        <v>1104</v>
      </c>
      <c r="E4" s="57" t="s">
        <v>95</v>
      </c>
      <c r="F4" s="9" t="s">
        <v>698</v>
      </c>
      <c r="G4" s="9" t="s">
        <v>1105</v>
      </c>
    </row>
    <row r="5" customFormat="false" ht="27.75" hidden="false" customHeight="true" outlineLevel="0" collapsed="false">
      <c r="A5" s="27" t="s">
        <v>1106</v>
      </c>
      <c r="B5" s="27" t="s">
        <v>1107</v>
      </c>
      <c r="C5" s="27" t="s">
        <v>1108</v>
      </c>
      <c r="D5" s="27" t="s">
        <v>1109</v>
      </c>
      <c r="E5" s="27" t="s">
        <v>1110</v>
      </c>
      <c r="F5" s="27" t="s">
        <v>717</v>
      </c>
      <c r="G5" s="27" t="s">
        <v>1111</v>
      </c>
    </row>
    <row r="6" customFormat="false" ht="27.75" hidden="false" customHeight="true" outlineLevel="0" collapsed="false">
      <c r="A6" s="58" t="s">
        <v>670</v>
      </c>
      <c r="B6" s="58" t="s">
        <v>1112</v>
      </c>
      <c r="C6" s="58" t="s">
        <v>1113</v>
      </c>
      <c r="D6" s="58" t="s">
        <v>1114</v>
      </c>
      <c r="E6" s="58" t="s">
        <v>1115</v>
      </c>
      <c r="F6" s="58" t="s">
        <v>1116</v>
      </c>
      <c r="G6" s="58" t="s">
        <v>1117</v>
      </c>
    </row>
    <row r="7" customFormat="false" ht="27.75" hidden="false" customHeight="true" outlineLevel="0" collapsed="false">
      <c r="A7" s="27" t="s">
        <v>1118</v>
      </c>
      <c r="B7" s="27" t="s">
        <v>1119</v>
      </c>
      <c r="C7" s="27" t="s">
        <v>1120</v>
      </c>
      <c r="D7" s="27" t="s">
        <v>1121</v>
      </c>
      <c r="E7" s="27" t="s">
        <v>1122</v>
      </c>
      <c r="F7" s="27" t="s">
        <v>717</v>
      </c>
      <c r="G7" s="27" t="s">
        <v>1117</v>
      </c>
    </row>
    <row r="8" customFormat="false" ht="27.75" hidden="false" customHeight="true" outlineLevel="0" collapsed="false">
      <c r="A8" s="58" t="s">
        <v>1123</v>
      </c>
      <c r="B8" s="58" t="s">
        <v>1124</v>
      </c>
      <c r="C8" s="58" t="s">
        <v>1125</v>
      </c>
      <c r="D8" s="58" t="s">
        <v>1126</v>
      </c>
      <c r="E8" s="58" t="s">
        <v>1127</v>
      </c>
      <c r="F8" s="58" t="s">
        <v>717</v>
      </c>
      <c r="G8" s="58" t="s">
        <v>1128</v>
      </c>
    </row>
    <row r="9" customFormat="false" ht="27.75" hidden="false" customHeight="true" outlineLevel="0" collapsed="false">
      <c r="A9" s="27" t="s">
        <v>555</v>
      </c>
      <c r="B9" s="27" t="s">
        <v>1129</v>
      </c>
      <c r="C9" s="27" t="s">
        <v>1130</v>
      </c>
      <c r="D9" s="27" t="s">
        <v>1131</v>
      </c>
      <c r="E9" s="27" t="s">
        <v>1132</v>
      </c>
      <c r="F9" s="27" t="s">
        <v>717</v>
      </c>
      <c r="G9" s="27" t="s">
        <v>1133</v>
      </c>
    </row>
    <row r="10" customFormat="false" ht="27.75" hidden="false" customHeight="true" outlineLevel="0" collapsed="false">
      <c r="A10" s="58" t="s">
        <v>746</v>
      </c>
      <c r="B10" s="58" t="s">
        <v>1134</v>
      </c>
      <c r="C10" s="58" t="s">
        <v>1135</v>
      </c>
      <c r="D10" s="58" t="s">
        <v>868</v>
      </c>
      <c r="E10" s="58" t="s">
        <v>1136</v>
      </c>
      <c r="F10" s="58" t="s">
        <v>717</v>
      </c>
      <c r="G10" s="58" t="s">
        <v>1137</v>
      </c>
    </row>
    <row r="11" customFormat="false" ht="27.75" hidden="false" customHeight="true" outlineLevel="0" collapsed="false">
      <c r="A11" s="27" t="s">
        <v>810</v>
      </c>
      <c r="B11" s="27" t="s">
        <v>1138</v>
      </c>
      <c r="C11" s="27" t="s">
        <v>1139</v>
      </c>
      <c r="D11" s="27" t="s">
        <v>1140</v>
      </c>
      <c r="E11" s="27" t="s">
        <v>1141</v>
      </c>
      <c r="F11" s="27" t="s">
        <v>810</v>
      </c>
      <c r="G11" s="27" t="s">
        <v>1142</v>
      </c>
    </row>
    <row r="12" customFormat="false" ht="27.75" hidden="false" customHeight="true" outlineLevel="0" collapsed="false">
      <c r="A12" s="58" t="s">
        <v>829</v>
      </c>
      <c r="B12" s="58" t="s">
        <v>1143</v>
      </c>
      <c r="C12" s="58" t="s">
        <v>1144</v>
      </c>
      <c r="D12" s="58" t="s">
        <v>1145</v>
      </c>
      <c r="E12" s="58" t="s">
        <v>1146</v>
      </c>
      <c r="F12" s="58" t="s">
        <v>371</v>
      </c>
      <c r="G12" s="58" t="s">
        <v>1117</v>
      </c>
    </row>
    <row r="13" customFormat="false" ht="27.75" hidden="false" customHeight="true" outlineLevel="0" collapsed="false">
      <c r="A13" s="27" t="s">
        <v>1147</v>
      </c>
      <c r="B13" s="27" t="s">
        <v>1148</v>
      </c>
      <c r="C13" s="27" t="s">
        <v>1149</v>
      </c>
      <c r="D13" s="27" t="s">
        <v>1150</v>
      </c>
      <c r="E13" s="27" t="s">
        <v>1151</v>
      </c>
      <c r="F13" s="27" t="s">
        <v>710</v>
      </c>
      <c r="G13" s="27" t="s">
        <v>1117</v>
      </c>
    </row>
    <row r="14" customFormat="false" ht="27.75" hidden="false" customHeight="true" outlineLevel="0" collapsed="false">
      <c r="A14" s="58" t="s">
        <v>1152</v>
      </c>
      <c r="B14" s="58" t="s">
        <v>1153</v>
      </c>
      <c r="C14" s="58" t="s">
        <v>1154</v>
      </c>
      <c r="D14" s="58" t="s">
        <v>1155</v>
      </c>
      <c r="E14" s="58" t="s">
        <v>1156</v>
      </c>
      <c r="F14" s="58" t="s">
        <v>100</v>
      </c>
      <c r="G14" s="58" t="s">
        <v>1157</v>
      </c>
    </row>
    <row r="15" customFormat="false" ht="27.75" hidden="false" customHeight="true" outlineLevel="0" collapsed="false">
      <c r="A15" s="27" t="s">
        <v>1158</v>
      </c>
      <c r="B15" s="27" t="s">
        <v>1159</v>
      </c>
      <c r="C15" s="27" t="s">
        <v>1160</v>
      </c>
      <c r="D15" s="27" t="s">
        <v>1161</v>
      </c>
      <c r="E15" s="27" t="s">
        <v>1162</v>
      </c>
      <c r="F15" s="27" t="s">
        <v>100</v>
      </c>
      <c r="G15" s="27" t="s">
        <v>1163</v>
      </c>
    </row>
  </sheetData>
  <mergeCells count="2">
    <mergeCell ref="A1:G1"/>
    <mergeCell ref="A2:G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4C"/>
    <pageSetUpPr fitToPage="true"/>
  </sheetPr>
  <dimension ref="A1:D2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88"/>
    <col collapsed="false" customWidth="true" hidden="false" outlineLevel="0" max="4" min="3" style="1" width="16"/>
  </cols>
  <sheetData>
    <row r="1" customFormat="false" ht="31.5" hidden="false" customHeight="true" outlineLevel="0" collapsed="false">
      <c r="A1" s="2" t="s">
        <v>0</v>
      </c>
      <c r="B1" s="2"/>
      <c r="C1" s="2"/>
      <c r="D1" s="2"/>
    </row>
    <row r="2" customFormat="false" ht="19.5" hidden="false" customHeight="true" outlineLevel="0" collapsed="false">
      <c r="A2" s="3" t="s">
        <v>1164</v>
      </c>
      <c r="B2" s="3"/>
      <c r="C2" s="3"/>
      <c r="D2" s="3"/>
    </row>
    <row r="4" customFormat="false" ht="15" hidden="false" customHeight="true" outlineLevel="0" collapsed="false">
      <c r="A4" s="57" t="s">
        <v>110</v>
      </c>
      <c r="B4" s="57" t="s">
        <v>1165</v>
      </c>
      <c r="C4" s="57" t="s">
        <v>1166</v>
      </c>
      <c r="D4" s="57" t="s">
        <v>698</v>
      </c>
    </row>
    <row r="5" customFormat="false" ht="27.75" hidden="false" customHeight="true" outlineLevel="0" collapsed="false">
      <c r="A5" s="27" t="s">
        <v>1167</v>
      </c>
      <c r="B5" s="27" t="s">
        <v>1168</v>
      </c>
      <c r="C5" s="27" t="s">
        <v>918</v>
      </c>
      <c r="D5" s="27" t="s">
        <v>100</v>
      </c>
    </row>
    <row r="6" customFormat="false" ht="27.75" hidden="false" customHeight="true" outlineLevel="0" collapsed="false">
      <c r="A6" s="58" t="s">
        <v>1169</v>
      </c>
      <c r="B6" s="58" t="s">
        <v>1170</v>
      </c>
      <c r="C6" s="58" t="s">
        <v>1171</v>
      </c>
      <c r="D6" s="58" t="s">
        <v>710</v>
      </c>
    </row>
    <row r="7" customFormat="false" ht="27.75" hidden="false" customHeight="true" outlineLevel="0" collapsed="false">
      <c r="A7" s="27" t="s">
        <v>1172</v>
      </c>
      <c r="B7" s="27" t="s">
        <v>1173</v>
      </c>
      <c r="C7" s="27" t="s">
        <v>926</v>
      </c>
      <c r="D7" s="27" t="s">
        <v>710</v>
      </c>
    </row>
    <row r="8" customFormat="false" ht="27.75" hidden="false" customHeight="true" outlineLevel="0" collapsed="false">
      <c r="A8" s="58" t="s">
        <v>1174</v>
      </c>
      <c r="B8" s="58" t="s">
        <v>1175</v>
      </c>
      <c r="C8" s="58" t="s">
        <v>922</v>
      </c>
      <c r="D8" s="58" t="s">
        <v>371</v>
      </c>
    </row>
    <row r="9" customFormat="false" ht="27.75" hidden="false" customHeight="true" outlineLevel="0" collapsed="false">
      <c r="A9" s="27" t="s">
        <v>1176</v>
      </c>
      <c r="B9" s="27" t="s">
        <v>1177</v>
      </c>
      <c r="C9" s="27" t="s">
        <v>918</v>
      </c>
      <c r="D9" s="27" t="s">
        <v>100</v>
      </c>
    </row>
    <row r="10" customFormat="false" ht="27.75" hidden="false" customHeight="true" outlineLevel="0" collapsed="false">
      <c r="A10" s="58" t="s">
        <v>1178</v>
      </c>
      <c r="B10" s="58" t="s">
        <v>1179</v>
      </c>
      <c r="C10" s="58" t="s">
        <v>926</v>
      </c>
      <c r="D10" s="58" t="s">
        <v>371</v>
      </c>
    </row>
    <row r="11" customFormat="false" ht="27.75" hidden="false" customHeight="true" outlineLevel="0" collapsed="false">
      <c r="A11" s="27" t="s">
        <v>1180</v>
      </c>
      <c r="B11" s="27" t="s">
        <v>1181</v>
      </c>
      <c r="C11" s="27" t="s">
        <v>934</v>
      </c>
      <c r="D11" s="27" t="s">
        <v>100</v>
      </c>
    </row>
    <row r="12" customFormat="false" ht="27.75" hidden="false" customHeight="true" outlineLevel="0" collapsed="false">
      <c r="A12" s="58" t="s">
        <v>1182</v>
      </c>
      <c r="B12" s="58" t="s">
        <v>1183</v>
      </c>
      <c r="C12" s="58" t="s">
        <v>937</v>
      </c>
      <c r="D12" s="58" t="s">
        <v>100</v>
      </c>
    </row>
    <row r="13" customFormat="false" ht="27.75" hidden="false" customHeight="true" outlineLevel="0" collapsed="false">
      <c r="A13" s="27" t="s">
        <v>1184</v>
      </c>
      <c r="B13" s="27" t="s">
        <v>1185</v>
      </c>
      <c r="C13" s="27" t="s">
        <v>937</v>
      </c>
      <c r="D13" s="27" t="s">
        <v>865</v>
      </c>
    </row>
    <row r="14" customFormat="false" ht="27.75" hidden="false" customHeight="true" outlineLevel="0" collapsed="false">
      <c r="A14" s="58" t="s">
        <v>1186</v>
      </c>
      <c r="B14" s="58" t="s">
        <v>1187</v>
      </c>
      <c r="C14" s="58" t="s">
        <v>1188</v>
      </c>
      <c r="D14" s="58" t="s">
        <v>371</v>
      </c>
    </row>
    <row r="15" customFormat="false" ht="27.75" hidden="false" customHeight="true" outlineLevel="0" collapsed="false">
      <c r="A15" s="27" t="s">
        <v>1189</v>
      </c>
      <c r="B15" s="27" t="s">
        <v>1190</v>
      </c>
      <c r="C15" s="27" t="s">
        <v>922</v>
      </c>
      <c r="D15" s="27" t="s">
        <v>100</v>
      </c>
    </row>
    <row r="16" customFormat="false" ht="27.75" hidden="false" customHeight="true" outlineLevel="0" collapsed="false">
      <c r="A16" s="58" t="s">
        <v>1191</v>
      </c>
      <c r="B16" s="58" t="str">
        <f aca="false">"Premium at $"&amp;TEXT(Assumptions!B69,"0.00")&amp;". Launch discount no deeper than the realized-price factor on Assumptions."</f>
        <v>Premium at $19.99. Launch discount no deeper than the realized-price factor on Assumptions.</v>
      </c>
      <c r="C16" s="58" t="s">
        <v>930</v>
      </c>
      <c r="D16" s="58" t="s">
        <v>100</v>
      </c>
    </row>
    <row r="17" customFormat="false" ht="27.75" hidden="false" customHeight="true" outlineLevel="0" collapsed="false">
      <c r="A17" s="27" t="s">
        <v>1192</v>
      </c>
      <c r="B17" s="27" t="s">
        <v>1193</v>
      </c>
      <c r="C17" s="27" t="s">
        <v>922</v>
      </c>
      <c r="D17" s="27" t="s">
        <v>100</v>
      </c>
    </row>
    <row r="18" customFormat="false" ht="27.75" hidden="false" customHeight="true" outlineLevel="0" collapsed="false">
      <c r="A18" s="58" t="s">
        <v>912</v>
      </c>
      <c r="B18" s="58" t="s">
        <v>1194</v>
      </c>
      <c r="C18" s="58" t="s">
        <v>930</v>
      </c>
      <c r="D18" s="58" t="s">
        <v>100</v>
      </c>
    </row>
    <row r="19" customFormat="false" ht="27.75" hidden="false" customHeight="true" outlineLevel="0" collapsed="false">
      <c r="A19" s="27" t="s">
        <v>1195</v>
      </c>
      <c r="B19" s="27" t="s">
        <v>1196</v>
      </c>
      <c r="C19" s="27" t="s">
        <v>934</v>
      </c>
      <c r="D19" s="27" t="s">
        <v>710</v>
      </c>
    </row>
    <row r="20" customFormat="false" ht="27.75" hidden="false" customHeight="true" outlineLevel="0" collapsed="false">
      <c r="A20" s="58" t="s">
        <v>1197</v>
      </c>
      <c r="B20" s="58" t="s">
        <v>1198</v>
      </c>
      <c r="C20" s="58" t="s">
        <v>934</v>
      </c>
      <c r="D20" s="58" t="s">
        <v>100</v>
      </c>
    </row>
    <row r="21" customFormat="false" ht="27.75" hidden="false" customHeight="true" outlineLevel="0" collapsed="false">
      <c r="A21" s="27" t="s">
        <v>1199</v>
      </c>
      <c r="B21" s="27" t="s">
        <v>1200</v>
      </c>
      <c r="C21" s="27" t="s">
        <v>934</v>
      </c>
      <c r="D21" s="27" t="s">
        <v>371</v>
      </c>
    </row>
    <row r="22" customFormat="false" ht="27.75" hidden="false" customHeight="true" outlineLevel="0" collapsed="false">
      <c r="A22" s="58" t="s">
        <v>1201</v>
      </c>
      <c r="B22" s="58" t="s">
        <v>1202</v>
      </c>
      <c r="C22" s="58" t="s">
        <v>937</v>
      </c>
      <c r="D22" s="58" t="s">
        <v>100</v>
      </c>
    </row>
  </sheetData>
  <mergeCells count="2">
    <mergeCell ref="A1:D1"/>
    <mergeCell ref="A2:D2"/>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46A"/>
    <pageSetUpPr fitToPage="tru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70"/>
    <col collapsed="false" customWidth="true" hidden="false" outlineLevel="0" max="4" min="4" style="1" width="56"/>
  </cols>
  <sheetData>
    <row r="1" customFormat="false" ht="31.5" hidden="false" customHeight="true" outlineLevel="0" collapsed="false">
      <c r="A1" s="2" t="s">
        <v>0</v>
      </c>
      <c r="B1" s="2"/>
      <c r="C1" s="2"/>
      <c r="D1" s="2"/>
    </row>
    <row r="2" customFormat="false" ht="19.5" hidden="false" customHeight="true" outlineLevel="0" collapsed="false">
      <c r="A2" s="3" t="s">
        <v>1203</v>
      </c>
      <c r="B2" s="3"/>
      <c r="C2" s="3"/>
      <c r="D2" s="3"/>
    </row>
    <row r="4" customFormat="false" ht="15" hidden="false" customHeight="true" outlineLevel="0" collapsed="false">
      <c r="A4" s="9" t="s">
        <v>1204</v>
      </c>
      <c r="B4" s="9" t="s">
        <v>1205</v>
      </c>
      <c r="C4" s="9" t="s">
        <v>1206</v>
      </c>
      <c r="D4" s="9" t="s">
        <v>1207</v>
      </c>
    </row>
    <row r="5" customFormat="false" ht="30" hidden="false" customHeight="true" outlineLevel="0" collapsed="false">
      <c r="A5" s="101" t="n">
        <v>46311</v>
      </c>
      <c r="B5" s="27" t="s">
        <v>1208</v>
      </c>
      <c r="C5" s="27" t="s">
        <v>1209</v>
      </c>
      <c r="D5" s="27" t="s">
        <v>1210</v>
      </c>
    </row>
    <row r="6" customFormat="false" ht="30" hidden="false" customHeight="true" outlineLevel="0" collapsed="false">
      <c r="A6" s="102" t="n">
        <v>46311</v>
      </c>
      <c r="B6" s="58" t="s">
        <v>1208</v>
      </c>
      <c r="C6" s="58" t="s">
        <v>1211</v>
      </c>
      <c r="D6" s="58" t="s">
        <v>1212</v>
      </c>
    </row>
    <row r="7" customFormat="false" ht="30" hidden="false" customHeight="true" outlineLevel="0" collapsed="false">
      <c r="A7" s="101" t="n">
        <v>46311</v>
      </c>
      <c r="B7" s="27" t="s">
        <v>1208</v>
      </c>
      <c r="C7" s="27" t="s">
        <v>1213</v>
      </c>
      <c r="D7" s="27" t="s">
        <v>1214</v>
      </c>
    </row>
    <row r="8" customFormat="false" ht="30" hidden="false" customHeight="true" outlineLevel="0" collapsed="false">
      <c r="A8" s="102" t="n">
        <v>46311</v>
      </c>
      <c r="B8" s="58" t="s">
        <v>972</v>
      </c>
      <c r="C8" s="58" t="s">
        <v>1215</v>
      </c>
      <c r="D8" s="58" t="s">
        <v>1216</v>
      </c>
    </row>
    <row r="9" customFormat="false" ht="30" hidden="false" customHeight="true" outlineLevel="0" collapsed="false">
      <c r="A9" s="101" t="n">
        <v>46311</v>
      </c>
      <c r="B9" s="27" t="s">
        <v>1217</v>
      </c>
      <c r="C9" s="27" t="s">
        <v>1218</v>
      </c>
      <c r="D9" s="27" t="s">
        <v>1219</v>
      </c>
    </row>
    <row r="10" customFormat="false" ht="30" hidden="false" customHeight="true" outlineLevel="0" collapsed="false">
      <c r="A10" s="102" t="n">
        <v>46311</v>
      </c>
      <c r="B10" s="58" t="s">
        <v>53</v>
      </c>
      <c r="C10" s="58" t="s">
        <v>1220</v>
      </c>
      <c r="D10" s="58" t="s">
        <v>1221</v>
      </c>
    </row>
    <row r="11" customFormat="false" ht="30" hidden="false" customHeight="true" outlineLevel="0" collapsed="false">
      <c r="A11" s="101" t="n">
        <v>46311</v>
      </c>
      <c r="B11" s="27" t="s">
        <v>1222</v>
      </c>
      <c r="C11" s="27" t="s">
        <v>1223</v>
      </c>
      <c r="D11" s="27" t="s">
        <v>1224</v>
      </c>
    </row>
    <row r="12" customFormat="false" ht="30" hidden="false" customHeight="true" outlineLevel="0" collapsed="false">
      <c r="A12" s="102" t="n">
        <v>46311</v>
      </c>
      <c r="B12" s="58" t="s">
        <v>451</v>
      </c>
      <c r="C12" s="58" t="s">
        <v>1225</v>
      </c>
      <c r="D12" s="58" t="s">
        <v>1226</v>
      </c>
    </row>
    <row r="13" customFormat="false" ht="30" hidden="false" customHeight="true" outlineLevel="0" collapsed="false">
      <c r="A13" s="101" t="n">
        <v>46311</v>
      </c>
      <c r="B13" s="27" t="s">
        <v>1227</v>
      </c>
      <c r="C13" s="27" t="s">
        <v>1228</v>
      </c>
      <c r="D13" s="27" t="s">
        <v>1229</v>
      </c>
    </row>
    <row r="14" customFormat="false" ht="30" hidden="false" customHeight="true" outlineLevel="0" collapsed="false">
      <c r="A14" s="102" t="n">
        <v>46311</v>
      </c>
      <c r="B14" s="58" t="s">
        <v>1230</v>
      </c>
      <c r="C14" s="58" t="s">
        <v>1231</v>
      </c>
      <c r="D14" s="58" t="s">
        <v>1232</v>
      </c>
    </row>
    <row r="15" customFormat="false" ht="30" hidden="false" customHeight="true" outlineLevel="0" collapsed="false">
      <c r="A15" s="101" t="n">
        <v>46311</v>
      </c>
      <c r="B15" s="27" t="s">
        <v>58</v>
      </c>
      <c r="C15" s="27" t="s">
        <v>1233</v>
      </c>
      <c r="D15" s="27" t="s">
        <v>1234</v>
      </c>
    </row>
    <row r="16" customFormat="false" ht="30" hidden="false" customHeight="true" outlineLevel="0" collapsed="false">
      <c r="A16" s="102" t="n">
        <v>46311</v>
      </c>
      <c r="B16" s="58" t="s">
        <v>1235</v>
      </c>
      <c r="C16" s="58" t="s">
        <v>1236</v>
      </c>
      <c r="D16" s="58" t="s">
        <v>1237</v>
      </c>
    </row>
    <row r="17" customFormat="false" ht="30" hidden="false" customHeight="true" outlineLevel="0" collapsed="false">
      <c r="A17" s="101" t="n">
        <v>46311</v>
      </c>
      <c r="B17" s="27" t="s">
        <v>62</v>
      </c>
      <c r="C17" s="27" t="s">
        <v>1238</v>
      </c>
      <c r="D17" s="27" t="s">
        <v>1239</v>
      </c>
    </row>
    <row r="18" customFormat="false" ht="30" hidden="false" customHeight="true" outlineLevel="0" collapsed="false">
      <c r="A18" s="102" t="n">
        <v>46311</v>
      </c>
      <c r="B18" s="58" t="s">
        <v>485</v>
      </c>
      <c r="C18" s="58" t="s">
        <v>1240</v>
      </c>
      <c r="D18" s="58" t="s">
        <v>1241</v>
      </c>
    </row>
    <row r="19" customFormat="false" ht="30" hidden="false" customHeight="true" outlineLevel="0" collapsed="false">
      <c r="A19" s="101" t="n">
        <v>46311</v>
      </c>
      <c r="B19" s="27" t="s">
        <v>761</v>
      </c>
      <c r="C19" s="27" t="s">
        <v>1242</v>
      </c>
      <c r="D19" s="27" t="s">
        <v>1243</v>
      </c>
    </row>
    <row r="20" customFormat="false" ht="30" hidden="false" customHeight="true" outlineLevel="0" collapsed="false">
      <c r="A20" s="102" t="n">
        <v>46311</v>
      </c>
      <c r="B20" s="58" t="s">
        <v>1244</v>
      </c>
      <c r="C20" s="58" t="s">
        <v>1245</v>
      </c>
      <c r="D20" s="58" t="s">
        <v>1246</v>
      </c>
    </row>
  </sheetData>
  <mergeCells count="2">
    <mergeCell ref="A1:D1"/>
    <mergeCell ref="A2:D2"/>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Game Development Plan</oddHeader>
    <oddFooter>&amp;LYellow cells with blue text are inputs. Green text is a cross-sheet link. Black text is a formula.&amp;RPage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2026-10-09T14:19:29Z</dcterms:created>
  <dc:creator>openpyxl</dc:creator>
  <dc:description/>
  <dc:language>en-US</dc:language>
  <cp:lastModifiedBy/>
  <dcterms:modified xsi:type="dcterms:W3CDTF">2026-10-18T05:11:56Z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