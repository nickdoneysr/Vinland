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gression" sheetId="16" state="visible" r:id="rId18"/>
    <sheet name="Balance" sheetId="17" state="visible" r:id="rId19"/>
    <sheet name="Revisions" sheetId="18" state="visible" r:id="rId20"/>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7"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<sst xmlns="http://schemas.openxmlformats.org/spreadsheetml/2006/main" count="2429" uniqueCount="1529">
  <si>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</si>
  <si>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</si>
  <si>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</si>
  <si>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</si>
  <si>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</si>
  <si>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</si>
  <si>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</si>
  <si>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</si>
  <si>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</si>
  <si>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</si>
  <si>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</si>
  <si>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</si>
  <si>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</si>
  <si>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</si>
  <si>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</si>
  <si>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</si>
  <si>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</si>
  <si>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</si>
  <si>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</si>
  <si>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</si>
  <si>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</si>
  <si>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</si>
  <si>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</si>
  <si>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</si>
  <si>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</si>
  <si>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</si>
  <si>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</si>
  <si>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</si>
  <si>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</si>
  <si>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</si>
  <si>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</si>
  <si>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</si>
  <si>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</si>
  <si>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</si>
  <si>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</si>
  <si>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</si>
  <si>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</si>
  <si>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</si>
  <si>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</si>
  <si>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</si>
  <si>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</si>
  <si>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</si>
  <si>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</si>
  <si>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</si>
  <si>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</si>
  <si>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</si>
  <si>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</si>
  <si>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</si>
  <si>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</si>
  <si>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</si>
  <si>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</si>
  <si>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</si>
  <si>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</si>
  <si>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</si>
  <si>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</si>
  <si>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</si>
  <si>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</si>
  <si>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</si>
  <si>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</si>
  <si>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</si>
  <si>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</si>
  <si>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</si>
  <si>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</si>
  <si>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</si>
  <si>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</si>
  <si>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</si>
  <si>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</si>
  <si>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</si>
  <si>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</si>
  <si>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</si>
  <si>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</si>
  <si>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</si>
  <si>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</si>
  <si>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</si>
  <si>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</si>
  <si>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</si>
  <si>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</si>
  <si>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</si>
  <si>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</si>
  <si>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</si>
  <si>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</si>
  <si>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</si>
  <si>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</si>
  <si>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</si>
  <si>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</si>
  <si>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</si>
  <si>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</si>
  <si>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</si>
  <si>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</si>
  <si>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</si>
  <si>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</si>
  <si>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</si>
  <si>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</si>
  <si>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</si>
  <si>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</si>
  <si>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</si>
  <si>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</si>
  <si>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</si>
  <si>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</si>
  <si>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</si>
  <si>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</si>
  <si>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</si>
  <si>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</si>
  <si>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</si>
  <si>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</si>
  <si>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</si>
  <si>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</si>
  <si>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</si>
  <si>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</si>
  <si>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</si>
  <si>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</si>
  <si>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</si>
  <si>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</si>
  <si>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</si>
  <si>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</si>
  <si>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</si>
  <si>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</si>
  <si>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</si>
  <si>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</si>
  <si>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</si>
  <si>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</si>
  <si>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</si>
  <si>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</si>
  <si>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</si>
  <si>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</si>
  <si>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</si>
  <si>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</si>
  <si>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</si>
  <si>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</si>
  <si>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</si>
  <si>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</si>
  <si>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</si>
  <si>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</si>
  <si>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</si>
  <si>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</si>
  <si>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</si>
  <si>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</si>
  <si>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</si>
  <si>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</si>
  <si>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</si>
  <si>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</si>
  <si>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</si>
  <si>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</si>
  <si>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</si>
  <si>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</si>
  <si>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</si>
  <si>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</si>
  <si>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</si>
  <si>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</si>
  <si>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</si>
  <si>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</si>
  <si>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</si>
  <si>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</si>
  <si>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</si>
  <si>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</si>
  <si>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</si>
  <si>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</si>
  <si>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</si>
  <si>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</si>
  <si>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</si>
  <si>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</si>
  <si>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</si>
  <si>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</si>
  <si>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</si>
  <si>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</si>
  <si>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</si>
  <si>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</si>
  <si>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</si>
  <si>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</si>
  <si>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</si>
  <si>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</si>
  <si>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</si>
  <si>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</si>
  <si>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</si>
  <si>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</si>
  <si>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</si>
  <si>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</si>
  <si>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</si>
  <si>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</si>
  <si>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</si>
  <si>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</si>
  <si>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</si>
  <si>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</si>
  <si>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</si>
  <si>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</si>
  <si>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</si>
  <si>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</si>
  <si>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</si>
  <si>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</si>
  <si>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</si>
  <si>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</si>
  <si>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</si>
  <si>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</si>
  <si>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</si>
  <si>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</si>
  <si>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</si>
  <si>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</si>
  <si>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</si>
  <si>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</si>
  <si>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</si>
  <si>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</si>
  <si>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</si>
  <si>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</si>
  <si>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</si>
  <si>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</si>
  <si>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</si>
  <si>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</si>
  <si>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</si>
  <si>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</si>
  <si>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</si>
  <si>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</si>
  <si>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</si>
  <si>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</si>
  <si>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</si>
  <si>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</si>
  <si>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</si>
  <si>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</si>
  <si>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</si>
  <si>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</si>
  <si>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</si>
  <si>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</si>
  <si>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</si>
  <si>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</si>
  <si>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</si>
  <si>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</si>
  <si>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</si>
  <si>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</si>
  <si>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</si>
  <si>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</si>
  <si>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</si>
  <si>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</si>
  <si>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</si>
  <si>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</si>
  <si>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</si>
  <si>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</si>
  <si>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</si>
  <si>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</si>
  <si>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</si>
  <si>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</si>
  <si>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</si>
  <si>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</si>
  <si>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</si>
  <si>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</si>
  <si>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</si>
  <si>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</si>
  <si>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</si>
  <si>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</si>
  <si>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</si>
  <si>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</si>
  <si>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</si>
  <si>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</si>
  <si>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</si>
  <si>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</si>
  <si>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</si>
  <si>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</si>
  <si>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</si>
  <si>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</si>
  <si>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</si>
  <si>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</si>
  <si>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</si>
  <si>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</si>
  <si>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</si>
  <si>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</si>
  <si>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</si>
  <si>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</si>
  <si>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</si>
  <si>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</si>
  <si>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</si>
  <si>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</si>
  <si>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</si>
  <si>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</si>
  <si>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</si>
  <si>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</si>
  <si>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</si>
  <si>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</si>
  <si>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</si>
  <si>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</si>
  <si>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</si>
  <si>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</si>
  <si>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</si>
  <si>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</si>
  <si>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</si>
  <si>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</si>
  <si>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</si>
  <si>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</si>
  <si>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</si>
  <si>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</si>
  <si>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</si>
  <si>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</si>
  <si>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</si>
  <si>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</si>
  <si>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</si>
  <si>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</si>
  <si>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</si>
  <si>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</si>
  <si>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</si>
  <si>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</si>
  <si>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</si>
  <si>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</si>
  <si>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</si>
  <si>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</si>
  <si>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</si>
  <si>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</si>
  <si>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</si>
  <si>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</si>
  <si>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</si>
  <si>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</si>
  <si>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</si>
  <si>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</si>
  <si>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</si>
  <si>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</si>
  <si>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</si>
  <si>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</si>
  <si>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</si>
  <si>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</si>
  <si>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</si>
  <si>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</si>
  <si>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</si>
  <si>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</si>
  <si>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</si>
  <si>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</si>
  <si>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</si>
  <si>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</si>
  <si>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</si>
  <si>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</si>
  <si>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</si>
  <si>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</si>
  <si>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</si>
  <si>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</si>
  <si>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</si>
  <si>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</si>
  <si>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</si>
  <si>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</si>
  <si>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</si>
  <si>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</si>
  <si>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</si>
  <si>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</si>
  <si>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</si>
  <si>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</si>
  <si>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</si>
  <si>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</si>
  <si>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</si>
  <si>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</si>
  <si>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</si>
  <si>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</si>
  <si>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</si>
  <si>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</si>
  <si>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</si>
  <si>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</si>
  <si>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</si>
  <si>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</si>
  <si>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</si>
  <si>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</si>
  <si>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</si>
  <si>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</si>
  <si>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</si>
  <si>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</si>
  <si>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</si>
  <si>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</si>
  <si>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</si>
  <si>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</si>
  <si>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</si>
  <si>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</si>
  <si>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</si>
  <si>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</si>
  <si>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</si>
  <si>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</si>
  <si>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</si>
  <si>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</si>
  <si>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</si>
  <si>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</si>
  <si>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</si>
  <si>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</si>
  <si>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</si>
  <si>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</si>
  <si>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</si>
  <si>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</si>
  <si>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</si>
  <si>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</si>
  <si>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OUTFITS AND CREW ROLES</t>
  </si>
  <si>
    <t xml:space="preserve">Merchant: pelt price multiplier</t>
  </si>
  <si>
    <t xml:space="preserve">Outfits (F22): red cloth buys more</t>
  </si>
  <si>
    <t xml:space="preserve">Merchant: forage multiplier</t>
  </si>
  <si>
    <t xml:space="preserve">Outfits (F22): forage-poor</t>
  </si>
  <si>
    <t xml:space="preserve">Farm household: byre work multiplier</t>
  </si>
  <si>
    <t xml:space="preserve">Outfits (F22): the byre is easier</t>
  </si>
  <si>
    <t xml:space="preserve">Farm household: fodder and hay go further</t>
  </si>
  <si>
    <t xml:space="preserve">Outfits (F22): fodder skill, at sea and in the byre</t>
  </si>
  <si>
    <t xml:space="preserve">Farm household: milk multiplier</t>
  </si>
  <si>
    <t xml:space="preserve">Outfits (F22): cheese keeps the milk</t>
  </si>
  <si>
    <t xml:space="preserve">Hunter-boat: shore fishing multiplier</t>
  </si>
  <si>
    <t xml:space="preserve">Outfits (F22): fishing people</t>
  </si>
  <si>
    <t xml:space="preserve">Hunter-boat: goodwill gain multiplier</t>
  </si>
  <si>
    <t xml:space="preserve">Outfits (F22): weak diplomacy</t>
  </si>
  <si>
    <t xml:space="preserve">Hunter-boat: building multiplier</t>
  </si>
  <si>
    <t xml:space="preserve">Outfits (F22): weak builders</t>
  </si>
  <si>
    <t xml:space="preserve">Shipwright's kin: timber felled multiplier</t>
  </si>
  <si>
    <t xml:space="preserve">Outfits (F22): they know a good tree</t>
  </si>
  <si>
    <t xml:space="preserve">Shipwright's kin: repair levels at a landfall</t>
  </si>
  <si>
    <t xml:space="preserve">Outfits (F22): hull repair</t>
  </si>
  <si>
    <t xml:space="preserve">Shipwright's kin: forage multiplier</t>
  </si>
  <si>
    <t xml:space="preserve">Outfits (F22): poor foragers</t>
  </si>
  <si>
    <t xml:space="preserve">Role: speed without a skipper</t>
  </si>
  <si>
    <t xml:space="preserve">Roles (F23): no one who knows her helm</t>
  </si>
  <si>
    <t xml:space="preserve">Role: repair levels at a landfall with a shipwright</t>
  </si>
  <si>
    <t xml:space="preserve">Roles (F23): without one, no repairs ashore</t>
  </si>
  <si>
    <t xml:space="preserve">Role: hooks a smith makes from one iron blade</t>
  </si>
  <si>
    <t xml:space="preserve">Roles (F23): the smith at the camp</t>
  </si>
  <si>
    <t xml:space="preserve">Role: hooks the camp keeps before the smith works iron</t>
  </si>
  <si>
    <t xml:space="preserve">Roles (F23): the smith works when hooks run short</t>
  </si>
  <si>
    <t xml:space="preserve">Role: sick days saved by a healer</t>
  </si>
  <si>
    <t xml:space="preserve">Roles (F23): sickness at sea and ashore</t>
  </si>
  <si>
    <t xml:space="preserve">Role: milk multiplier with a householder</t>
  </si>
  <si>
    <t xml:space="preserve">Roles (F23): the dairy</t>
  </si>
  <si>
    <t xml:space="preserve">Role: kill chance multiplier with a hunter</t>
  </si>
  <si>
    <t xml:space="preserve">Roles (F23): someone who reads the herd</t>
  </si>
  <si>
    <t xml:space="preserve">Role: fewest crew to sail a knarr home</t>
  </si>
  <si>
    <t xml:space="preserve">Roles (F23): the return voyage (F24)</t>
  </si>
  <si>
    <t xml:space="preserve">RETURN VOYAGE, APPRAISAL AND RECRUITMENT</t>
  </si>
  <si>
    <t xml:space="preserve">Work to raise the boat shed (builder-days)</t>
  </si>
  <si>
    <t xml:space="preserve">Return gate (F24): the knarr is readied under a roof</t>
  </si>
  <si>
    <t xml:space="preserve">Return window opens (day of year)</t>
  </si>
  <si>
    <t xml:space="preserve">Return gate (F24): 1 June of the second summer</t>
  </si>
  <si>
    <t xml:space="preserve">Last sensible day to sail home (day of year)</t>
  </si>
  <si>
    <t xml:space="preserve">Return gate (F24): 2 September; later is a gamble with October</t>
  </si>
  <si>
    <t xml:space="preserve">Hull levels mended a week ashore with a shipwright</t>
  </si>
  <si>
    <t xml:space="preserve">Return gate (F24): a seaworthy hull</t>
  </si>
  <si>
    <t xml:space="preserve">Autumn bias: foul weather weight multiplier</t>
  </si>
  <si>
    <t xml:space="preserve">Return voyage (F24): fog, cloud, gales and storms come more often</t>
  </si>
  <si>
    <t xml:space="preserve">Autumn bias: chance a fair day turns foul after 1 September</t>
  </si>
  <si>
    <t xml:space="preserve">Return voyage (F24)</t>
  </si>
  <si>
    <t xml:space="preserve">Autumn bias: sickness multiplier</t>
  </si>
  <si>
    <t xml:space="preserve">Return voyage (F24): cold, wet watches</t>
  </si>
  <si>
    <t xml:space="preserve">Timber jettison chance when the bail fails</t>
  </si>
  <si>
    <t xml:space="preserve">Return voyage (F24): lighten her or lose her</t>
  </si>
  <si>
    <t xml:space="preserve">Silver per timber unit, sound grade (marks)</t>
  </si>
  <si>
    <t xml:space="preserve">Appraisal (F25)</t>
  </si>
  <si>
    <t xml:space="preserve">Prime timber price multiplier</t>
  </si>
  <si>
    <t xml:space="preserve">Appraisal (F25): mostly winter-felled, or a shipwright's eye</t>
  </si>
  <si>
    <t xml:space="preserve">Rough timber price multiplier</t>
  </si>
  <si>
    <t xml:space="preserve">Appraisal (F25): green summer-felled wood</t>
  </si>
  <si>
    <t xml:space="preserve">Winter-felled share for prime timber</t>
  </si>
  <si>
    <t xml:space="preserve">Winter-felled share below which timber is rough</t>
  </si>
  <si>
    <t xml:space="preserve">Silver per pelt (marks)</t>
  </si>
  <si>
    <t xml:space="preserve">Appraisal (F25): ten pelts are a cargo unit</t>
  </si>
  <si>
    <t xml:space="preserve">Starting silver, high (marks)</t>
  </si>
  <si>
    <t xml:space="preserve">Outfit silver (F22)</t>
  </si>
  <si>
    <t xml:space="preserve">Starting silver, medium (marks)</t>
  </si>
  <si>
    <t xml:space="preserve">Starting silver, low (marks)</t>
  </si>
  <si>
    <t xml:space="preserve">Story: points per person alive</t>
  </si>
  <si>
    <t xml:space="preserve">Recruitment (F26): at the camp and home again</t>
  </si>
  <si>
    <t xml:space="preserve">Story: points per building raised</t>
  </si>
  <si>
    <t xml:space="preserve">Recruitment (F26): booths, longhouse, byre, boat shed</t>
  </si>
  <si>
    <t xml:space="preserve">Story: points lost per death</t>
  </si>
  <si>
    <t xml:space="preserve">Recruitment (F26)</t>
  </si>
  <si>
    <t xml:space="preserve">Story: points per point of goodwill</t>
  </si>
  <si>
    <t xml:space="preserve">Recruitment (F26): peace with the people of the land</t>
  </si>
  <si>
    <t xml:space="preserve">Volunteers per point of story</t>
  </si>
  <si>
    <t xml:space="preserve">Recruitment (F26): a true story recruits better than silver</t>
  </si>
  <si>
    <t xml:space="preserve">Silver to hire a recruit (marks)</t>
  </si>
  <si>
    <t xml:space="preserve">Second hull price (marks)</t>
  </si>
  <si>
    <t xml:space="preserve">Recruitment (F26): a knarr of your own for the relief</t>
  </si>
  <si>
    <t xml:space="preserve">Most volunteers in a winter</t>
  </si>
  <si>
    <t xml:space="preserve">Most people a relief hull carries</t>
  </si>
  <si>
    <t xml:space="preserve">Recruitment (F26): room left for stores and stock in 24 units</t>
  </si>
  <si>
    <t xml:space="preserve">RELIEF VOYAGE AND SCORE (F30, F31)</t>
  </si>
  <si>
    <t xml:space="preserve">Relief price: food unit (marks)</t>
  </si>
  <si>
    <t xml:space="preserve">Relief stores (F30): the household feeds the crossing; more costs silver</t>
  </si>
  <si>
    <t xml:space="preserve">Relief price: drink unit (marks)</t>
  </si>
  <si>
    <t xml:space="preserve">Relief stores (F30)</t>
  </si>
  <si>
    <t xml:space="preserve">Relief price: fodder unit (marks)</t>
  </si>
  <si>
    <t xml:space="preserve">Relief price: head of cattle (marks)</t>
  </si>
  <si>
    <t xml:space="preserve">Relief stock (F30)</t>
  </si>
  <si>
    <t xml:space="preserve">Relief price: sheep or goat (marks)</t>
  </si>
  <si>
    <t xml:space="preserve">Relief price: trade unit (marks)</t>
  </si>
  <si>
    <t xml:space="preserve">Relief trade goods (F30): cloth or iron</t>
  </si>
  <si>
    <t xml:space="preserve">Score: per timber unit delivered</t>
  </si>
  <si>
    <t xml:space="preserve">Score (F31): the return is the win (P7)</t>
  </si>
  <si>
    <t xml:space="preserve">Score: per person alive at the end</t>
  </si>
  <si>
    <t xml:space="preserve">Score (F31): at the camp and at home</t>
  </si>
  <si>
    <t xml:space="preserve">Score: per point of goodwill left</t>
  </si>
  <si>
    <t xml:space="preserve">Score (F31): peace left on the table</t>
  </si>
  <si>
    <t xml:space="preserve">Score: per cargo home</t>
  </si>
  <si>
    <t xml:space="preserve">Score (F31)</t>
  </si>
  <si>
    <t xml:space="preserve">Score: for a relief that reached the camp</t>
  </si>
  <si>
    <t xml:space="preserve">Score: for a living camp at the end</t>
  </si>
  <si>
    <t xml:space="preserve">Score (F31): the colony is the point (P5); an abandoned camp scores below it (P8)</t>
  </si>
  <si>
    <t xml:space="preserve">Score: per death</t>
  </si>
  <si>
    <t xml:space="preserve">Cargoes for the full win</t>
  </si>
  <si>
    <t xml:space="preserve">Score (F31): two cargoes and one relief ship is the full win (P7)</t>
  </si>
  <si>
    <t xml:space="preserve">Most deaths for the full saga</t>
  </si>
  <si>
    <t xml:space="preserve">Score (F31, F55): more dead and the saga is dear-bought; set from the balance sweep</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</si>
  <si>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</si>
  <si>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</si>
  <si>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</si>
  <si>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</si>
  <si>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</si>
  <si>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</si>
  <si>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</si>
  <si>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</si>
  <si>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</si>
  <si>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</si>
  <si>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</si>
  <si>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</si>
  <si>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</si>
  <si>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</si>
  <si>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</si>
  <si>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</si>
  <si>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</si>
  <si>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</si>
  <si>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</si>
  <si>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</si>
  <si>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</si>
  <si>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</si>
  <si>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</si>
  <si>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</si>
  <si>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</si>
  <si>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</si>
  <si>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</si>
  <si>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</si>
  <si>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</si>
  <si>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</si>
  <si>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</si>
  <si>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</si>
  <si>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</si>
  <si>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</si>
  <si>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</si>
  <si>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</si>
  <si>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</si>
  <si>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</si>
  <si>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</si>
  <si>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</si>
  <si>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</si>
  <si>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</si>
  <si>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</si>
  <si>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</si>
  <si>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</si>
  <si>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</si>
  <si>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</si>
  <si>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</si>
  <si>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</si>
  <si>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</si>
  <si>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</si>
  <si>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</si>
  <si>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</si>
  <si>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</si>
  <si>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</si>
  <si>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</si>
  <si>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</si>
  <si>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</si>
  <si>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</si>
  <si>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</si>
  <si>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</si>
  <si>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</si>
  <si>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</si>
  <si>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</si>
  <si>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</si>
  <si>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</si>
  <si>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</si>
  <si>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</si>
  <si>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</si>
  <si>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</si>
  <si>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</si>
  <si>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</si>
  <si>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</si>
  <si>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</si>
  <si>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</si>
  <si>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</si>
  <si>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</si>
  <si>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</si>
  <si>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</si>
  <si>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</si>
  <si>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</si>
  <si>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</si>
  <si>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</si>
  <si>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</si>
  <si>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</si>
  <si>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</si>
  <si>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</si>
  <si>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</si>
  <si>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</si>
  <si>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</si>
  <si>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</si>
  <si>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</si>
  <si>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</si>
  <si>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</si>
  <si>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</si>
  <si>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</si>
  <si>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</si>
  <si>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</si>
  <si>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</si>
  <si>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</si>
  <si>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</si>
  <si>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</si>
  <si>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</si>
  <si>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</si>
  <si>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</si>
  <si>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</si>
  <si>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</si>
  <si>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</si>
  <si>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</si>
  <si>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</si>
  <si>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</si>
  <si>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</si>
  <si>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</si>
  <si>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</si>
  <si>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</si>
  <si>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</si>
  <si>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</si>
  <si>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</si>
  <si>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</si>
  <si>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</si>
  <si>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</si>
  <si>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</si>
  <si>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</si>
  <si>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</si>
  <si>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</si>
  <si>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</si>
  <si>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</si>
  <si>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</si>
  <si>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</si>
  <si>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</si>
  <si>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</si>
  <si>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</si>
  <si>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</si>
  <si>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</si>
  <si>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</si>
  <si>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</si>
  <si>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</si>
  <si>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</si>
  <si>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</si>
  <si>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</si>
  <si>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</si>
  <si>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</si>
  <si>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</si>
  <si>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</si>
  <si>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</si>
  <si>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</si>
  <si>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</si>
  <si>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</si>
  <si>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</si>
  <si>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</si>
  <si>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</si>
  <si>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</si>
  <si>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</si>
  <si>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</si>
  <si>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</si>
  <si>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</si>
  <si>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</si>
  <si>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</si>
  <si>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</si>
  <si>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</si>
  <si>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</si>
  <si>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</si>
  <si>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</si>
  <si>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</si>
  <si>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</si>
  <si>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</si>
  <si>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</si>
  <si>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</si>
  <si>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</si>
  <si>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</si>
  <si>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</si>
  <si>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</si>
  <si>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</si>
  <si>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</si>
  <si>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</si>
  <si>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</si>
  <si>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</si>
  <si>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</si>
  <si>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</si>
  <si>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</si>
  <si>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</si>
  <si>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</si>
  <si>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</si>
  <si>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</si>
  <si>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</si>
  <si>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</si>
  <si>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</si>
  <si>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</si>
  <si>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</si>
  <si>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</si>
  <si>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</si>
  <si>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</si>
  <si>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</si>
  <si>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</si>
  <si>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</si>
  <si>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</si>
  <si>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</si>
  <si>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</si>
  <si>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</si>
  <si>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</si>
  <si>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</si>
  <si>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</si>
  <si>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</si>
  <si>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</si>
  <si>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</si>
  <si>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</si>
  <si>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</si>
  <si>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</si>
  <si>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</si>
  <si>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</si>
  <si>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</si>
  <si>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</si>
  <si>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</si>
  <si>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</si>
  <si>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</si>
  <si>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</si>
  <si>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</si>
  <si>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</si>
  <si>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</si>
  <si>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</si>
  <si>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</si>
  <si>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</si>
  <si>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</si>
  <si>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</si>
  <si>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</si>
  <si>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</si>
  <si>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</si>
  <si>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</si>
  <si>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</si>
  <si>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</si>
  <si>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</si>
  <si>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</si>
  <si>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</si>
  <si>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</si>
  <si>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</si>
  <si>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</si>
  <si>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</si>
  <si>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</si>
  <si>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</si>
  <si>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</si>
  <si>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</si>
  <si>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</si>
  <si>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</si>
  <si>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</si>
  <si>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</si>
  <si>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</si>
  <si>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</si>
  <si>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</si>
  <si>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</si>
  <si>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</si>
  <si>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</si>
  <si>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</si>
  <si>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</si>
  <si>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</si>
  <si>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</si>
  <si>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</si>
  <si>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</si>
  <si>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</si>
  <si>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</si>
  <si>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</si>
  <si>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</si>
  <si>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</si>
  <si>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</si>
  <si>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</si>
  <si>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</si>
  <si>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</si>
  <si>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</si>
  <si>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</si>
  <si>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</si>
  <si>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</si>
  <si>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</si>
  <si>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</si>
  <si>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</si>
  <si>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</si>
  <si>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</si>
  <si>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</si>
  <si>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</si>
  <si>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</si>
  <si>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</si>
  <si>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</si>
  <si>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</si>
  <si>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</si>
  <si>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</si>
  <si>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</si>
  <si>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</si>
  <si>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</si>
  <si>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</si>
  <si>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</si>
  <si>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</si>
  <si>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</si>
  <si>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</si>
  <si>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</si>
  <si>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</si>
  <si>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</si>
  <si>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</si>
  <si>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</si>
  <si>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</si>
  <si>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</si>
  <si>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</si>
  <si>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</si>
  <si>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</si>
  <si>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</si>
  <si>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</si>
  <si>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</si>
  <si>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</si>
  <si>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</si>
  <si>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</si>
  <si>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</si>
  <si>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</si>
  <si>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</si>
  <si>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</si>
  <si>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</si>
  <si>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</si>
  <si>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</si>
  <si>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</si>
  <si>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</si>
  <si>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</si>
  <si>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</si>
  <si>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</si>
  <si>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</si>
  <si>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</si>
  <si>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</si>
  <si>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</si>
  <si>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</si>
  <si>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</si>
  <si>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</si>
  <si>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</si>
  <si>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</si>
  <si>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</si>
  <si>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</si>
  <si>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</si>
  <si>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</si>
  <si>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</si>
  <si>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</si>
  <si>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</si>
  <si>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</si>
  <si>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</si>
  <si>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</si>
  <si>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</si>
  <si>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</si>
  <si>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</si>
  <si>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</si>
  <si>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</si>
  <si>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</si>
  <si>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</si>
  <si>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</si>
  <si>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</si>
  <si>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</si>
  <si>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</si>
  <si>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</si>
  <si>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</si>
  <si>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</si>
  <si>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</si>
  <si>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</si>
  <si>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</si>
  <si>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</si>
  <si>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</si>
  <si>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</si>
  <si>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</si>
  <si>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</si>
  <si>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</si>
  <si>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</si>
  <si>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</si>
  <si>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</si>
  <si>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</si>
  <si>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</si>
  <si>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</si>
  <si>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</si>
  <si>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</si>
  <si>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</si>
  <si>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</si>
  <si>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</si>
  <si>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</si>
  <si>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</si>
  <si>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</si>
  <si>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</si>
  <si>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</si>
  <si>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</si>
  <si>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</si>
  <si>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</si>
  <si>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</si>
  <si>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</si>
  <si>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</si>
  <si>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</si>
  <si>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</si>
  <si>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</si>
  <si>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</si>
  <si>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</si>
  <si>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</si>
  <si>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</si>
  <si>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</si>
  <si>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</si>
  <si>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</si>
  <si>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</si>
  <si>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</si>
  <si>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</si>
  <si>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</si>
  <si>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</si>
  <si>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</si>
  <si>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</si>
  <si>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</si>
  <si>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</si>
  <si>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</si>
  <si>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</si>
  <si>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</si>
  <si>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</si>
  <si>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</si>
  <si>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</si>
  <si>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</si>
  <si>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</si>
  <si>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</si>
  <si>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</si>
  <si>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</si>
  <si>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</si>
  <si>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</si>
  <si>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</si>
  <si>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</si>
  <si>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</si>
  <si>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</si>
  <si>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</si>
  <si>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</si>
  <si>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</si>
  <si>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</si>
  <si>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</si>
  <si>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</si>
  <si>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</si>
  <si>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</si>
  <si>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</si>
  <si>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</si>
  <si>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</si>
  <si>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</si>
  <si>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</si>
  <si>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</si>
  <si>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</si>
  <si>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</si>
  <si>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  [Built: Merchant (Karlsefni), Farm household, Hunter-boat, Shipwright's kin chosen on the Eriksfjord loadout. Each sets the starting hold (all fit 24 units with stores for the crossing), the kit (hooks, nets, spare sail), one or two mini-games a step easier or harder, and multipliers on the Assumptions sheet (OUTFITS AND CREW ROLES). Every outfit crosses (40/40 careful runs) and winters (0 deaths, 0 animals lost with a planning player; the farm herd wants five haymakers).]</t>
  </si>
  <si>
    <t xml:space="preserve">F23</t>
  </si>
  <si>
    <t xml:space="preserve">Named crew roles</t>
  </si>
  <si>
    <t xml:space="preserve">Roles decide who can stand a watch, take a verb, or sail home.  [Built: every run has a named crew, about two in five women, with leaders per outfit and seven key roles. Skipper: without one she sails 10% slower. Pilot: without one the star ring and sun board are a step harder. Shipwright: landfall repairs (two levels for Shipwright's kin). Smith: beats trade iron into hooks. Healer: sickness a day shorter. Householder: more milk. Hunter: better kill chance. Deaths name who was lost. Who can sail home (skipper or pilot plus 10 crew) is ready for F24.]</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</si>
  <si>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</si>
  <si>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</si>
  <si>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</si>
  <si>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</si>
  <si>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</si>
  <si>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</si>
  <si>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</si>
  <si>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</si>
  <si>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</si>
  <si>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</si>
  <si>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</si>
  <si>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</si>
  <si>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</si>
  <si>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</si>
  <si>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</si>
  <si>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</si>
  <si>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</si>
  <si>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</si>
  <si>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</si>
  <si>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</si>
  <si>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</si>
  <si>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</si>
  <si>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</si>
  <si>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</si>
  <si>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</si>
  <si>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</si>
  <si>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</si>
  <si>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</si>
  <si>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</si>
  <si>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</si>
  <si>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</si>
  <si>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</si>
  <si>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</si>
  <si>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</si>
  <si>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</si>
  <si>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</si>
  <si>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</si>
  <si>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</si>
  <si>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  [Built: the knarr row on the camp board shows the return gate (second summer from 1 June, boat shed, hull mended to strained or better, 4+ timber, a skipper or pilot and 10 crew). The planner loads who sails, timber, pelts, food and drink against 24 units; the skipper and a pilot sail, the healer and smith stay. The voyage home runs the legs in reverse with 1.6x foul weather, fair days turning foul after 1 September, more sickness, and timber jettisoned when a bail fails. Careful captains bring her home 40/40.]</t>
  </si>
  <si>
    <t xml:space="preserve">F25</t>
  </si>
  <si>
    <t xml:space="preserve">Timber appraisal and cargo sale</t>
  </si>
  <si>
    <t xml:space="preserve">Timber grade and amount set what the cargo buys at home.  [Built: the appraisal at Eriksfjord grades timber rough / sound / prime by the share felled in winter (Shipwright's kin one grade up) and sells it with the pelts for marks of silver on top of the outfit's silver.]</t>
  </si>
  <si>
    <t xml:space="preserve">Recruitment and second hull</t>
  </si>
  <si>
    <t xml:space="preserve">A living crew and a true story recruit better than silver.  [Built: the story (people alive in both places, buildings, deaths, goodwill) brings volunteers; silver hires more and can buy a second hull (40 marks); each hull carries 30. The relief carries them west in F30.]</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</si>
  <si>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</si>
  <si>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</si>
  <si>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</si>
  <si>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</si>
  <si>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</si>
  <si>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</si>
  <si>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</si>
  <si>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</si>
  <si>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</si>
  <si>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</si>
  <si>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</si>
  <si>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</si>
  <si>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  [Built: outfit, outbound voyage, camp, cargo home, appraisal and recruitment, the relief loaded with silver (stores, stock, trade goods; one or two hulls), the camp run on its own while you are away (hay sized to the herd), the reunion, a second cargo home and the score. Rules-level runs for every outfit go outfit to score (8 of 8 full sagas each with a planning player); a ship that never goes home strands the camp at the third winter.]</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</si>
  <si>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</si>
  <si>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</si>
  <si>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</si>
  <si>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</si>
  <si>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</si>
  <si>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  [First pass: balance sweep of whole runs by three player models (sheet Balance, docs/balance/fullrun_sweep.csv); full saga now also needs few deaths; regression test holds the spread. Retune from real play logs after playtest 2.]</t>
  </si>
  <si>
    <t xml:space="preserve">F64</t>
  </si>
  <si>
    <t xml:space="preserve">Regression pass list per gate</t>
  </si>
  <si>
    <t xml:space="preserve">QA</t>
  </si>
  <si>
    <t xml:space="preserve">Each gate has a written pass list run on the tagged build.  [Built: Regression sheet with 27 pass items across G1 to G5 (automated and manual); tools/regression.sh runs every automated pass and writes docs/regression/&lt;date&gt;_&lt;commit&gt;.txt. Git tags cannot be pushed from the build machine, so reports name the commit.]</t>
  </si>
  <si>
    <t xml:space="preserve">F31</t>
  </si>
  <si>
    <t xml:space="preserve">Score and saga ending</t>
  </si>
  <si>
    <t xml:space="preserve">Qualified ending scored below a living camp, never scolded.  [First pass: score from timber delivered, cargoes, people alive in both places, the relief, a living camp, goodwill and deaths; endings titled The full saga, Home and rich, A camp at the Strait, A camp without a ship, A hard road. Saga text (F56) and tuning to come.]</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</si>
  <si>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</si>
  <si>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</si>
  <si>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</si>
  <si>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</si>
  <si>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</si>
  <si>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</si>
  <si>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</si>
  <si>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</si>
  <si>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</si>
  <si>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</si>
  <si>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</si>
  <si>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</si>
  <si>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</si>
  <si>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</si>
  <si>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</si>
  <si>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</si>
  <si>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</si>
  <si>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</si>
  <si>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</si>
  <si>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</si>
  <si>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</si>
  <si>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</si>
  <si>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</si>
  <si>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</si>
  <si>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</si>
  <si>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</si>
  <si>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</si>
  <si>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</si>
  <si>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</si>
  <si>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</si>
  <si>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</si>
  <si>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</si>
  <si>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</si>
  <si>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</si>
  <si>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</si>
  <si>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</si>
  <si>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</si>
  <si>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</si>
  <si>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</si>
  <si>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</si>
  <si>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</si>
  <si>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</si>
  <si>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</si>
  <si>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</si>
  <si>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</si>
  <si>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</si>
  <si>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</si>
  <si>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</si>
  <si>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</si>
  <si>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</si>
  <si>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</si>
  <si>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</si>
  <si>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</si>
  <si>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</si>
  <si>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</si>
  <si>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</si>
  <si>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</si>
  <si>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</si>
  <si>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</si>
  <si>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</si>
  <si>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</si>
  <si>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</si>
  <si>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</si>
  <si>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</si>
  <si>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</si>
  <si>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</si>
  <si>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</si>
  <si>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</si>
  <si>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</si>
  <si>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</si>
  <si>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</si>
  <si>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</si>
  <si>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</si>
  <si>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</si>
  <si>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</si>
  <si>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</si>
  <si>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</si>
  <si>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</si>
  <si>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</si>
  <si>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</si>
  <si>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</si>
  <si>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</si>
  <si>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</si>
  <si>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</si>
  <si>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</si>
  <si>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</si>
  <si>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</si>
  <si>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</si>
  <si>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</si>
  <si>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</si>
  <si>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</si>
  <si>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</si>
  <si>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</si>
  <si>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</si>
  <si>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</si>
  <si>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</si>
  <si>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</si>
  <si>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</si>
  <si>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</si>
  <si>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</si>
  <si>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</si>
  <si>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</si>
  <si>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</si>
  <si>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</si>
  <si>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</si>
  <si>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</si>
  <si>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</si>
  <si>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</si>
  <si>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</si>
  <si>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</si>
  <si>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</si>
  <si>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</si>
  <si>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</si>
  <si>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</si>
  <si>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</si>
  <si>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</si>
  <si>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</si>
  <si>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</si>
  <si>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</si>
  <si>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</si>
  <si>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</si>
  <si>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</si>
  <si>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</si>
  <si>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</si>
  <si>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</si>
  <si>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</si>
  <si>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</si>
  <si>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</si>
  <si>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</si>
  <si>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</si>
  <si>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</si>
  <si>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</si>
  <si>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</si>
  <si>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</si>
  <si>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</si>
  <si>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</si>
  <si>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</si>
  <si>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</si>
  <si>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</si>
  <si>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</si>
  <si>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</si>
  <si>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</si>
  <si>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</si>
  <si>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</si>
  <si>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</si>
  <si>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</si>
  <si>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 Regression sheet; Balance sheet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</si>
  <si>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</si>
  <si>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</si>
  <si>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</si>
  <si>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</si>
  <si>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</si>
  <si>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</si>
  <si>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</si>
  <si>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</si>
  <si>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</si>
  <si>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</si>
  <si>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</si>
  <si>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</si>
  <si>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</si>
  <si>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</si>
  <si>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</si>
  <si>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</si>
  <si>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</si>
  <si>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</si>
  <si>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</si>
  <si>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</si>
  <si>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</si>
  <si>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</si>
  <si>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</si>
  <si>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</si>
  <si>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</si>
  <si>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</si>
  <si>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</si>
  <si>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</si>
  <si>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</si>
  <si>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</si>
  <si>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</si>
  <si>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</si>
  <si>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</si>
  <si>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</si>
  <si>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</si>
  <si>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</si>
  <si>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</si>
  <si>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</si>
  <si>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</si>
  <si>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</si>
  <si>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</si>
  <si>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</si>
  <si>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</si>
  <si>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</si>
  <si>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</si>
  <si>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</si>
  <si>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</si>
  <si>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</si>
  <si>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</si>
  <si>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</si>
  <si>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</si>
  <si>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</si>
  <si>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</si>
  <si>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</si>
  <si>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</si>
  <si>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</si>
  <si>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</si>
  <si>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</si>
  <si>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</si>
  <si>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</si>
  <si>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</si>
  <si>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</si>
  <si>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</si>
  <si>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</si>
  <si>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</si>
  <si>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</si>
  <si>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</si>
  <si>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</si>
  <si>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</si>
  <si>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</si>
  <si>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</si>
  <si>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</si>
  <si>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</si>
  <si>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</si>
  <si>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</si>
  <si>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</si>
  <si>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</si>
  <si>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</si>
  <si>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</si>
  <si>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</si>
  <si>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</si>
  <si>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</si>
  <si>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</si>
  <si>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</si>
  <si>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</si>
  <si>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</si>
  <si>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</si>
  <si>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</si>
  <si>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</si>
  <si>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</si>
  <si>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</si>
  <si>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</si>
  <si>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</si>
  <si>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</si>
  <si>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</si>
  <si>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</si>
  <si>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</si>
  <si>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</si>
  <si>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</si>
  <si>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</si>
  <si>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</si>
  <si>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</si>
  <si>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</si>
  <si>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</si>
  <si>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</si>
  <si>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</si>
  <si>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</si>
  <si>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</si>
  <si>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</si>
  <si>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</si>
  <si>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</si>
  <si>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</si>
  <si>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</si>
  <si>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</si>
  <si>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</si>
  <si>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</si>
  <si>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</si>
  <si>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</si>
  <si>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</si>
  <si>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</si>
  <si>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</si>
  <si>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</si>
  <si>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</si>
  <si>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</si>
  <si>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</si>
  <si>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</si>
  <si>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</si>
  <si>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</si>
  <si>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</si>
  <si>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</si>
  <si>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</si>
  <si>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</si>
  <si>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</si>
  <si>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</si>
  <si>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</si>
  <si>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</si>
  <si>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</si>
  <si>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</si>
  <si>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</si>
  <si>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</si>
  <si>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</si>
  <si>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</si>
  <si>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</si>
  <si>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</si>
  <si>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</si>
  <si>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</si>
  <si>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</si>
  <si>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</si>
  <si>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</si>
  <si>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</si>
  <si>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</si>
  <si>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</si>
  <si>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</si>
  <si>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</si>
  <si>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</si>
  <si>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</si>
  <si>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</si>
  <si>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</si>
  <si>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</si>
  <si>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</si>
  <si>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</si>
  <si>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</si>
  <si>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</si>
  <si>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</si>
  <si>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</si>
  <si>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</si>
  <si>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</si>
  <si>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</si>
  <si>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</si>
  <si>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</si>
  <si>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</si>
  <si>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</si>
  <si>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</si>
  <si>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</si>
  <si>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</si>
  <si>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</si>
  <si>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</si>
  <si>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</si>
  <si>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</si>
  <si>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</si>
  <si>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</si>
  <si>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</si>
  <si>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</si>
  <si>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</si>
  <si>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</si>
  <si>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</si>
  <si>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Regression pass list per gate  ·  F64: each gate has a written pass list run on the tagged build</t>
  </si>
  <si>
    <t xml:space="preserve">Automated items run with tools/regression.sh (full suite, novice sweep, saves, balance sweep, boot smoke) and write docs/regression/&lt;date&gt;_&lt;commit&gt;.txt. Manual items are played on the same build and ticked here with the report name.</t>
  </si>
  <si>
    <t xml:space="preserve">Pass item</t>
  </si>
  <si>
    <t xml:space="preserve">How it is checked</t>
  </si>
  <si>
    <t xml:space="preserve">Result on this build</t>
  </si>
  <si>
    <t xml:space="preserve">Report</t>
  </si>
  <si>
    <t xml:space="preserve">RG01</t>
  </si>
  <si>
    <t xml:space="preserve">Leave a fjord and sail every leg to the Strait</t>
  </si>
  <si>
    <t xml:space="preserve">Automated</t>
  </si>
  <si>
    <t xml:space="preserve">slice: plays from Eriksfjord through the first winter to the second spring</t>
  </si>
  <si>
    <t xml:space="preserve">Pass</t>
  </si>
  <si>
    <t xml:space="preserve">2026-10-18_7975193.txt</t>
  </si>
  <si>
    <t xml:space="preserve">RG02</t>
  </si>
  <si>
    <t xml:space="preserve">A missed fix walks the ship downwind; partial halves, clean refunds</t>
  </si>
  <si>
    <t xml:space="preserve">drift: clean refunds, partial halves, none walks</t>
  </si>
  <si>
    <t xml:space="preserve">RG03</t>
  </si>
  <si>
    <t xml:space="preserve">Star ring winnable in every sky; mislevelling punished</t>
  </si>
  <si>
    <t xml:space="preserve">bot night: clear / twilight / fog / storm</t>
  </si>
  <si>
    <t xml:space="preserve">RG04</t>
  </si>
  <si>
    <t xml:space="preserve">Fish on the hand line; a joint seats; the hold changes because of them</t>
  </si>
  <si>
    <t xml:space="preserve">slice: every G1 gate item is met by a played run</t>
  </si>
  <si>
    <t xml:space="preserve">F05, F07, F01</t>
  </si>
  <si>
    <t xml:space="preserve">RG05</t>
  </si>
  <si>
    <t xml:space="preserve">A first-time player passes each slice mini-game on Forgiving (85%+) and Standard (60%+)</t>
  </si>
  <si>
    <t xml:space="preserve">novice sweep: ring, line, joint</t>
  </si>
  <si>
    <t xml:space="preserve">RG06</t>
  </si>
  <si>
    <t xml:space="preserve">Play the slice on a gamepad: leave Eriksfjord, take a ring fix, fish once, seat one joint</t>
  </si>
  <si>
    <t xml:space="preserve">Manual</t>
  </si>
  <si>
    <t xml:space="preserve">30 minutes on the Windows build</t>
  </si>
  <si>
    <t xml:space="preserve">Passed 17 Oct 2026 (playtest: "much better")</t>
  </si>
  <si>
    <t xml:space="preserve">RG07</t>
  </si>
  <si>
    <t xml:space="preserve">Web build boots in a browser and the ring plays</t>
  </si>
  <si>
    <t xml:space="preserve">itch.io web zip in Chrome; console free of errors</t>
  </si>
  <si>
    <t xml:space="preserve">Pass (automated browser check this build)</t>
  </si>
  <si>
    <t xml:space="preserve">RG08</t>
  </si>
  <si>
    <t xml:space="preserve">Every verb is in and practicable from the title (Y, 1 to 8)</t>
  </si>
  <si>
    <t xml:space="preserve">test_minigames, test_work_games, novice sweep (9 games)</t>
  </si>
  <si>
    <t xml:space="preserve">F09-F15</t>
  </si>
  <si>
    <t xml:space="preserve">RG09</t>
  </si>
  <si>
    <t xml:space="preserve">The market can break: fear cap stops trade, raids follow</t>
  </si>
  <si>
    <t xml:space="preserve">market: at the fear cap no one comes to trade; ... raided now and then</t>
  </si>
  <si>
    <t xml:space="preserve">F19-F21</t>
  </si>
  <si>
    <t xml:space="preserve">RG10</t>
  </si>
  <si>
    <t xml:space="preserve">Hay can kill the herd</t>
  </si>
  <si>
    <t xml:space="preserve">camp year: forgetting hay costs the herd</t>
  </si>
  <si>
    <t xml:space="preserve">RG11</t>
  </si>
  <si>
    <t xml:space="preserve">The slipway can spill a log</t>
  </si>
  <si>
    <t xml:space="preserve">F18 lift and slipway</t>
  </si>
  <si>
    <t xml:space="preserve">Not built yet</t>
  </si>
  <si>
    <t xml:space="preserve">RG12</t>
  </si>
  <si>
    <t xml:space="preserve">Saves: watch-level at sea, day-level ashore, three slots, exact replay</t>
  </si>
  <si>
    <t xml:space="preserve">save runner; return: a saved voyage home keeps its course</t>
  </si>
  <si>
    <t xml:space="preserve">RG13</t>
  </si>
  <si>
    <t xml:space="preserve">Pause and options: difficulty, vibration, prompts, save and quit</t>
  </si>
  <si>
    <t xml:space="preserve">options: ... (10 checks)</t>
  </si>
  <si>
    <t xml:space="preserve">RG14</t>
  </si>
  <si>
    <t xml:space="preserve">Outfits and named roles change the hold, the kit and the verbs</t>
  </si>
  <si>
    <t xml:space="preserve">outfits / crew / roles (47 checks)</t>
  </si>
  <si>
    <t xml:space="preserve">F22, F23</t>
  </si>
  <si>
    <t xml:space="preserve">RG15</t>
  </si>
  <si>
    <t xml:space="preserve">Visitors stay neutral placeholders until the consultant review</t>
  </si>
  <si>
    <t xml:space="preserve">Look at the market screen: no clothing, boats or dialogue art beyond grey shapes</t>
  </si>
  <si>
    <t xml:space="preserve">Pass (placeholder only); review pending</t>
  </si>
  <si>
    <t xml:space="preserve">RG16</t>
  </si>
  <si>
    <t xml:space="preserve">Each mini-game played once from the title on keyboard and on a pad</t>
  </si>
  <si>
    <t xml:space="preserve">Practice keys Y, 1 to 8; note any that feel unfair</t>
  </si>
  <si>
    <t xml:space="preserve">Due at playtest 1</t>
  </si>
  <si>
    <t xml:space="preserve">RG17</t>
  </si>
  <si>
    <t xml:space="preserve">A three-summer run is completable from outfit to score</t>
  </si>
  <si>
    <t xml:space="preserve">full run: every outfit goes outfit to score (8 of 8)</t>
  </si>
  <si>
    <t xml:space="preserve">RG18</t>
  </si>
  <si>
    <t xml:space="preserve">Qualified ending and full ending both reachable</t>
  </si>
  <si>
    <t xml:space="preserve">score: full saga / home and rich / dear-bought / camp without a ship</t>
  </si>
  <si>
    <t xml:space="preserve">RG19</t>
  </si>
  <si>
    <t xml:space="preserve">Balance: planner 75%+ full saga, average 15-80%, careless 10% or less</t>
  </si>
  <si>
    <t xml:space="preserve">balance sweep (240 runs), balance runner</t>
  </si>
  <si>
    <t xml:space="preserve">RG20</t>
  </si>
  <si>
    <t xml:space="preserve">The return gate, the appraisal, recruitment, the relief and the reunion work in the scenes</t>
  </si>
  <si>
    <t xml:space="preserve">camp scene / voyage scene / homecoming scene / relief scene checks</t>
  </si>
  <si>
    <t xml:space="preserve">F24-F26</t>
  </si>
  <si>
    <t xml:space="preserve">RG21</t>
  </si>
  <si>
    <t xml:space="preserve">Play one whole run on Forgiving with a gamepad and note the score and ending</t>
  </si>
  <si>
    <t xml:space="preserve">About 3 to 4 hours; Continue from the title between sittings</t>
  </si>
  <si>
    <t xml:space="preserve">Due</t>
  </si>
  <si>
    <t xml:space="preserve">RG22</t>
  </si>
  <si>
    <t xml:space="preserve">Every verb completable without a gamepad</t>
  </si>
  <si>
    <t xml:space="preserve">Keyboard-only run of each mini-game</t>
  </si>
  <si>
    <t xml:space="preserve">Partly: keyboard prompts in place; F54 pass due</t>
  </si>
  <si>
    <t xml:space="preserve">RG23</t>
  </si>
  <si>
    <t xml:space="preserve">Remaps work</t>
  </si>
  <si>
    <t xml:space="preserve">RG24</t>
  </si>
  <si>
    <t xml:space="preserve">No-haptic fallback taught: every tell has a visual twin</t>
  </si>
  <si>
    <t xml:space="preserve">Vibration off in options; play each mini-game</t>
  </si>
  <si>
    <t xml:space="preserve">Visual twins in place; teaching pass due</t>
  </si>
  <si>
    <t xml:space="preserve">F32, F40</t>
  </si>
  <si>
    <t xml:space="preserve">RG25</t>
  </si>
  <si>
    <t xml:space="preserve">No must-ship bug open</t>
  </si>
  <si>
    <t xml:space="preserve">Bug list empty of Must rows</t>
  </si>
  <si>
    <t xml:space="preserve">RG26</t>
  </si>
  <si>
    <t xml:space="preserve">Ship build exports for Windows and the web</t>
  </si>
  <si>
    <t xml:space="preserve">export presets build in CI-like step (tools in README)</t>
  </si>
  <si>
    <t xml:space="preserve">RG27</t>
  </si>
  <si>
    <t xml:space="preserve">Trailer, store copy, day-one notes in the release folder</t>
  </si>
  <si>
    <t xml:space="preserve">Balance sweep  ·  F55: knob changes backed by logged runs</t>
  </si>
  <si>
    <t xml:space="preserve">Whole three-summer runs played by three player models (tests/balance.gd), 20 seeds per outfit. Every run is in docs/balance/fullrun_sweep.csv. Re-run: godot --headless --path . res://tests/balance_runner.tscn -- --n=20</t>
  </si>
  <si>
    <t xml:space="preserve">Player model</t>
  </si>
  <si>
    <t xml:space="preserve">Runs</t>
  </si>
  <si>
    <t xml:space="preserve">Full saga</t>
  </si>
  <si>
    <t xml:space="preserve">Dear-bought</t>
  </si>
  <si>
    <t xml:space="preserve">Other endings</t>
  </si>
  <si>
    <t xml:space="preserve">Average score</t>
  </si>
  <si>
    <t xml:space="preserve">Average deaths</t>
  </si>
  <si>
    <t xml:space="preserve">Average timber home</t>
  </si>
  <si>
    <t xml:space="preserve">Planner</t>
  </si>
  <si>
    <t xml:space="preserve">All outfits</t>
  </si>
  <si>
    <t xml:space="preserve">Average</t>
  </si>
  <si>
    <t xml:space="preserve">A camp at the Strait 1</t>
  </si>
  <si>
    <t xml:space="preserve">stranded 1</t>
  </si>
  <si>
    <t xml:space="preserve">A camp at the Strait 1, stranded 2</t>
  </si>
  <si>
    <t xml:space="preserve">Careless</t>
  </si>
  <si>
    <t xml:space="preserve">lost homeward 2, stranded 3, A camp at the Strait 1</t>
  </si>
  <si>
    <t xml:space="preserve">lost homeward 1, A camp at the Strait 3, stranded 3</t>
  </si>
  <si>
    <t xml:space="preserve">A camp at the Strait 2, lost homeward 1</t>
  </si>
  <si>
    <t xml:space="preserve">lost homeward 3, stranded 5</t>
  </si>
  <si>
    <t xml:space="preserve">lost homeward 7, stranded 11, A camp at the Strait 6</t>
  </si>
  <si>
    <t xml:space="preserve">Models</t>
  </si>
  <si>
    <t xml:space="preserve">Planner: plans by season, hay sized to the herd, careful captain, sails the day the gate opens</t>
  </si>
  <si>
    <t xml:space="preserve">Average: uneven hands, three haymakers, little drying, average captain, sails weeks late, buys nothing extra</t>
  </si>
  <si>
    <t xml:space="preserve">Careless: summer-only camp, no hay, no rack, reckless captain, sails late</t>
  </si>
  <si>
    <t xml:space="preserve">Changes made from this sweep</t>
  </si>
  <si>
    <t xml:space="preserve">First sweep (8 seeds): planner 100%, average 97%, careless 78% reached the full saga: the arc was too easy to close.</t>
  </si>
  <si>
    <t xml:space="preserve">Full saga now also needs no more than "Most deaths for the full saga" (Assumptions, 3). The whole arc with more dead is "A dear-bought saga", scored and named, never scolded (P8).</t>
  </si>
  <si>
    <t xml:space="preserve">Camp running itself while you are away: hay sized to the herd (the first pass lost whole herds over the second winter).</t>
  </si>
  <si>
    <t xml:space="preserve">Targets held by the regression test: planner 75%+ full saga, average 15-80%, careless 10% or less; scores and deaths ordered planner &gt; average &gt; careless.</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</si>
  <si>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</si>
  <si>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</si>
  <si>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</si>
  <si>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</si>
  <si>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</si>
  <si>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</si>
  <si>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</si>
  <si>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</si>
  <si>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</si>
  <si>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</si>
  <si>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</si>
  <si>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</si>
  <si>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</si>
  <si>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</si>
  <si>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</si>
  <si>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</si>
  <si>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</si>
  <si>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</si>
  <si>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</si>
  <si>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</si>
  <si>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</si>
  <si>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</si>
  <si>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</si>
  <si>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</si>
  <si>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</si>
  <si>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</si>
  <si>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</si>
  <si>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</si>
  <si>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</si>
  <si>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</si>
  <si>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</si>
  <si>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</si>
  <si>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</si>
  <si>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</si>
  <si>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</si>
  <si>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</si>
  <si>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</si>
  <si>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</si>
  <si>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</si>
  <si>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</si>
  <si>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</si>
  <si>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</si>
  <si>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</si>
  <si>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</si>
  <si>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</si>
  <si>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</si>
  <si>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</si>
  <si>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</si>
  <si>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</si>
  <si>
    <t xml:space="preserve">F22 four outfits and F23 named crew roles built; OUTFITS AND CREW ROLES knobs added.</t>
  </si>
  <si>
    <t xml:space="preserve">Outfits now change the hold, the kit and how the verbs feel; roles make each death matter.</t>
  </si>
  <si>
    <t xml:space="preserve">F24 return voyage and F25 appraisal done, F26 recruitment in progress; RETURN VOYAGE, APPRAISAL AND RECRUITMENT knobs added. The camp no longer ends at the second spring: that is now the G1 milestone card.</t>
  </si>
  <si>
    <t xml:space="preserve">Alpha begins: the timber goes home and buys the relief.</t>
  </si>
  <si>
    <t xml:space="preserve">F26 and F30 done, F31 first pass; RELIEF VOYAGE AND SCORE knobs added.</t>
  </si>
  <si>
    <t xml:space="preserve">A run now goes from outfit to score: three summers, two cargoes, one relief.</t>
  </si>
  <si>
    <t xml:space="preserve">Balance, Assumptions, Backlog</t>
  </si>
  <si>
    <t xml:space="preserve">New Balance sheet from a 240-run sweep; "Most deaths for the full saga" knob; F55 in progress.</t>
  </si>
  <si>
    <t xml:space="preserve">The first sweep showed even careless play reaching the full saga.</t>
  </si>
  <si>
    <t xml:space="preserve">Regression, Milestones, Backlog</t>
  </si>
  <si>
    <t xml:space="preserve">New Regression sheet (F64 done); G3 in progress.</t>
  </si>
  <si>
    <t xml:space="preserve">Every gate now has a written pass list and a script that runs the automated half.</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</si>
</sst>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6">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
      <b val="true"/>
      <sz val="11"/>
      <name val="Cambria"/>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left" vertical="center" textRotation="0" wrapText="false" indent="1" shrinkToFit="false"/>
      <protection locked="true" hidden="false"/>
    </xf>
    <xf numFmtId="164" fontId="5" fillId="3" borderId="0" xfId="0" applyFont="true" applyBorder="false" applyAlignment="true" applyProtection="false">
      <alignment horizontal="left" vertical="center" textRotation="0" wrapText="false" indent="1"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left"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70" fontId="25" fillId="0" borderId="1"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45485430"/>
        <c:axId val="74301498"/>
      </c:barChart>
      <c:catAx>
        <c:axId val="4548543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301498"/>
        <c:crosses val="autoZero"/>
        <c:auto val="1"/>
        <c:lblAlgn val="ctr"/>
        <c:lblOffset val="100"/>
        <c:noMultiLvlLbl val="0"/>
      </c:catAx>
      <c:valAx>
        <c:axId val="7430149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48543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736920</xdr:colOff>
      <xdr:row>40</xdr:row>
      <xdr:rowOff>53280</xdr:rowOff>
    </xdr:to>
    <xdr:graphicFrame>
      <xdr:nvGraphicFramePr>
        <xdr:cNvPr id="0" name="Chart 1"/>
        <xdr:cNvGraphicFramePr/>
      </xdr:nvGraphicFramePr>
      <xdr:xfrm>
        <a:off x="0" y="6562800"/>
        <a:ext cx="5388840" cy="2148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18 of 65</v>
      </c>
      <c r="C55" s="31" t="s">
        <v>68</v>
      </c>
      <c r="D55" s="31"/>
      <c r="E55" s="32" t="str">
        <f aca="false">"Info"</f>
        <v>Info</v>
      </c>
      <c r="F55" s="33" t="s">
        <v>69</v>
      </c>
      <c r="G55" s="33"/>
      <c r="H55" s="33"/>
    </row>
    <row r="56" customFormat="false" ht="15" hidden="false" customHeight="true" outlineLevel="0" collapsed="false">
      <c r="A56" s="4" t="s">
        <v>70</v>
      </c>
      <c r="B56" s="38" t="n">
        <f aca="false">Backlog!G86</f>
        <v>0.333333333333333</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25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row r="192" customFormat="false" ht="15" hidden="false" customHeight="true" outlineLevel="0" collapsed="false">
      <c r="A192" s="57" t="s">
        <v>379</v>
      </c>
    </row>
    <row r="193" customFormat="false" ht="15" hidden="false" customHeight="true" outlineLevel="0" collapsed="false">
      <c r="A193" s="9" t="s">
        <v>132</v>
      </c>
      <c r="B193" s="9" t="s">
        <v>42</v>
      </c>
      <c r="C193" s="9" t="s">
        <v>133</v>
      </c>
    </row>
    <row r="194" customFormat="false" ht="15" hidden="false" customHeight="true" outlineLevel="0" collapsed="false">
      <c r="A194" s="42" t="s">
        <v>380</v>
      </c>
      <c r="B194" s="43" t="n">
        <v>0.85</v>
      </c>
      <c r="C194" s="41" t="s">
        <v>381</v>
      </c>
    </row>
    <row r="195" customFormat="false" ht="15" hidden="false" customHeight="true" outlineLevel="0" collapsed="false">
      <c r="A195" s="42" t="s">
        <v>382</v>
      </c>
      <c r="B195" s="43" t="n">
        <v>0.7</v>
      </c>
      <c r="C195" s="41" t="s">
        <v>383</v>
      </c>
    </row>
    <row r="196" customFormat="false" ht="15" hidden="false" customHeight="true" outlineLevel="0" collapsed="false">
      <c r="A196" s="42" t="s">
        <v>384</v>
      </c>
      <c r="B196" s="43" t="n">
        <v>0.7</v>
      </c>
      <c r="C196" s="41" t="s">
        <v>385</v>
      </c>
    </row>
    <row r="197" customFormat="false" ht="15" hidden="false" customHeight="true" outlineLevel="0" collapsed="false">
      <c r="A197" s="42" t="s">
        <v>386</v>
      </c>
      <c r="B197" s="43" t="n">
        <v>1.25</v>
      </c>
      <c r="C197" s="41" t="s">
        <v>387</v>
      </c>
    </row>
    <row r="198" customFormat="false" ht="15" hidden="false" customHeight="true" outlineLevel="0" collapsed="false">
      <c r="A198" s="42" t="s">
        <v>388</v>
      </c>
      <c r="B198" s="43" t="n">
        <v>1.25</v>
      </c>
      <c r="C198" s="41" t="s">
        <v>389</v>
      </c>
    </row>
    <row r="199" customFormat="false" ht="15" hidden="false" customHeight="true" outlineLevel="0" collapsed="false">
      <c r="A199" s="42" t="s">
        <v>390</v>
      </c>
      <c r="B199" s="43" t="n">
        <v>1.25</v>
      </c>
      <c r="C199" s="41" t="s">
        <v>391</v>
      </c>
    </row>
    <row r="200" customFormat="false" ht="15" hidden="false" customHeight="true" outlineLevel="0" collapsed="false">
      <c r="A200" s="42" t="s">
        <v>392</v>
      </c>
      <c r="B200" s="43" t="n">
        <v>0.75</v>
      </c>
      <c r="C200" s="41" t="s">
        <v>393</v>
      </c>
    </row>
    <row r="201" customFormat="false" ht="15" hidden="false" customHeight="true" outlineLevel="0" collapsed="false">
      <c r="A201" s="42" t="s">
        <v>394</v>
      </c>
      <c r="B201" s="43" t="n">
        <v>0.85</v>
      </c>
      <c r="C201" s="41" t="s">
        <v>395</v>
      </c>
    </row>
    <row r="202" customFormat="false" ht="15" hidden="false" customHeight="true" outlineLevel="0" collapsed="false">
      <c r="A202" s="42" t="s">
        <v>396</v>
      </c>
      <c r="B202" s="43" t="n">
        <v>1.25</v>
      </c>
      <c r="C202" s="41" t="s">
        <v>397</v>
      </c>
    </row>
    <row r="203" customFormat="false" ht="15" hidden="false" customHeight="true" outlineLevel="0" collapsed="false">
      <c r="A203" s="42" t="s">
        <v>398</v>
      </c>
      <c r="B203" s="43" t="n">
        <v>2</v>
      </c>
      <c r="C203" s="41" t="s">
        <v>399</v>
      </c>
    </row>
    <row r="204" customFormat="false" ht="15" hidden="false" customHeight="true" outlineLevel="0" collapsed="false">
      <c r="A204" s="42" t="s">
        <v>400</v>
      </c>
      <c r="B204" s="43" t="n">
        <v>0.7</v>
      </c>
      <c r="C204" s="41" t="s">
        <v>401</v>
      </c>
    </row>
    <row r="205" customFormat="false" ht="15" hidden="false" customHeight="true" outlineLevel="0" collapsed="false">
      <c r="A205" s="42" t="s">
        <v>402</v>
      </c>
      <c r="B205" s="43" t="n">
        <v>0.9</v>
      </c>
      <c r="C205" s="41" t="s">
        <v>403</v>
      </c>
    </row>
    <row r="206" customFormat="false" ht="15" hidden="false" customHeight="true" outlineLevel="0" collapsed="false">
      <c r="A206" s="42" t="s">
        <v>404</v>
      </c>
      <c r="B206" s="43" t="n">
        <v>1</v>
      </c>
      <c r="C206" s="41" t="s">
        <v>405</v>
      </c>
    </row>
    <row r="207" customFormat="false" ht="15" hidden="false" customHeight="true" outlineLevel="0" collapsed="false">
      <c r="A207" s="42" t="s">
        <v>406</v>
      </c>
      <c r="B207" s="43" t="n">
        <v>4</v>
      </c>
      <c r="C207" s="41" t="s">
        <v>407</v>
      </c>
    </row>
    <row r="208" customFormat="false" ht="15" hidden="false" customHeight="true" outlineLevel="0" collapsed="false">
      <c r="A208" s="42" t="s">
        <v>408</v>
      </c>
      <c r="B208" s="43" t="n">
        <v>6</v>
      </c>
      <c r="C208" s="41" t="s">
        <v>409</v>
      </c>
    </row>
    <row r="209" customFormat="false" ht="15" hidden="false" customHeight="true" outlineLevel="0" collapsed="false">
      <c r="A209" s="42" t="s">
        <v>410</v>
      </c>
      <c r="B209" s="43" t="n">
        <v>1</v>
      </c>
      <c r="C209" s="41" t="s">
        <v>411</v>
      </c>
    </row>
    <row r="210" customFormat="false" ht="15" hidden="false" customHeight="true" outlineLevel="0" collapsed="false">
      <c r="A210" s="42" t="s">
        <v>412</v>
      </c>
      <c r="B210" s="43" t="n">
        <v>1.2</v>
      </c>
      <c r="C210" s="41" t="s">
        <v>413</v>
      </c>
    </row>
    <row r="211" customFormat="false" ht="15" hidden="false" customHeight="true" outlineLevel="0" collapsed="false">
      <c r="A211" s="42" t="s">
        <v>414</v>
      </c>
      <c r="B211" s="43" t="n">
        <v>1.15</v>
      </c>
      <c r="C211" s="41" t="s">
        <v>415</v>
      </c>
    </row>
    <row r="212" customFormat="false" ht="15" hidden="false" customHeight="true" outlineLevel="0" collapsed="false">
      <c r="A212" s="42" t="s">
        <v>416</v>
      </c>
      <c r="B212" s="43" t="n">
        <v>10</v>
      </c>
      <c r="C212" s="41" t="s">
        <v>417</v>
      </c>
    </row>
    <row r="214" customFormat="false" ht="15" hidden="false" customHeight="true" outlineLevel="0" collapsed="false">
      <c r="A214" s="57" t="s">
        <v>418</v>
      </c>
    </row>
    <row r="215" customFormat="false" ht="15" hidden="false" customHeight="true" outlineLevel="0" collapsed="false">
      <c r="A215" s="9" t="s">
        <v>132</v>
      </c>
      <c r="B215" s="9" t="s">
        <v>42</v>
      </c>
      <c r="C215" s="9" t="s">
        <v>133</v>
      </c>
    </row>
    <row r="216" customFormat="false" ht="15" hidden="false" customHeight="true" outlineLevel="0" collapsed="false">
      <c r="A216" s="42" t="s">
        <v>419</v>
      </c>
      <c r="B216" s="43" t="n">
        <v>80</v>
      </c>
      <c r="C216" s="41" t="s">
        <v>420</v>
      </c>
    </row>
    <row r="217" customFormat="false" ht="15" hidden="false" customHeight="true" outlineLevel="0" collapsed="false">
      <c r="A217" s="42" t="s">
        <v>421</v>
      </c>
      <c r="B217" s="43" t="n">
        <v>152</v>
      </c>
      <c r="C217" s="41" t="s">
        <v>422</v>
      </c>
    </row>
    <row r="218" customFormat="false" ht="15" hidden="false" customHeight="true" outlineLevel="0" collapsed="false">
      <c r="A218" s="42" t="s">
        <v>423</v>
      </c>
      <c r="B218" s="43" t="n">
        <v>245</v>
      </c>
      <c r="C218" s="41" t="s">
        <v>424</v>
      </c>
    </row>
    <row r="219" customFormat="false" ht="15" hidden="false" customHeight="true" outlineLevel="0" collapsed="false">
      <c r="A219" s="42" t="s">
        <v>425</v>
      </c>
      <c r="B219" s="43" t="n">
        <v>1</v>
      </c>
      <c r="C219" s="41" t="s">
        <v>426</v>
      </c>
    </row>
    <row r="220" customFormat="false" ht="15" hidden="false" customHeight="true" outlineLevel="0" collapsed="false">
      <c r="A220" s="42" t="s">
        <v>427</v>
      </c>
      <c r="B220" s="43" t="n">
        <v>1.6</v>
      </c>
      <c r="C220" s="41" t="s">
        <v>428</v>
      </c>
    </row>
    <row r="221" customFormat="false" ht="15" hidden="false" customHeight="true" outlineLevel="0" collapsed="false">
      <c r="A221" s="42" t="s">
        <v>429</v>
      </c>
      <c r="B221" s="43" t="n">
        <v>0.25</v>
      </c>
      <c r="C221" s="41" t="s">
        <v>430</v>
      </c>
    </row>
    <row r="222" customFormat="false" ht="15" hidden="false" customHeight="true" outlineLevel="0" collapsed="false">
      <c r="A222" s="42" t="s">
        <v>431</v>
      </c>
      <c r="B222" s="43" t="n">
        <v>1.25</v>
      </c>
      <c r="C222" s="41" t="s">
        <v>432</v>
      </c>
    </row>
    <row r="223" customFormat="false" ht="15" hidden="false" customHeight="true" outlineLevel="0" collapsed="false">
      <c r="A223" s="42" t="s">
        <v>433</v>
      </c>
      <c r="B223" s="43" t="n">
        <v>0.5</v>
      </c>
      <c r="C223" s="41" t="s">
        <v>434</v>
      </c>
    </row>
    <row r="224" customFormat="false" ht="15" hidden="false" customHeight="true" outlineLevel="0" collapsed="false">
      <c r="A224" s="42" t="s">
        <v>435</v>
      </c>
      <c r="B224" s="43" t="n">
        <v>3</v>
      </c>
      <c r="C224" s="41" t="s">
        <v>436</v>
      </c>
    </row>
    <row r="225" customFormat="false" ht="15" hidden="false" customHeight="true" outlineLevel="0" collapsed="false">
      <c r="A225" s="42" t="s">
        <v>437</v>
      </c>
      <c r="B225" s="43" t="n">
        <v>1.4</v>
      </c>
      <c r="C225" s="41" t="s">
        <v>438</v>
      </c>
    </row>
    <row r="226" customFormat="false" ht="15" hidden="false" customHeight="true" outlineLevel="0" collapsed="false">
      <c r="A226" s="42" t="s">
        <v>439</v>
      </c>
      <c r="B226" s="43" t="n">
        <v>0.7</v>
      </c>
      <c r="C226" s="41" t="s">
        <v>440</v>
      </c>
    </row>
    <row r="227" customFormat="false" ht="15" hidden="false" customHeight="true" outlineLevel="0" collapsed="false">
      <c r="A227" s="42" t="s">
        <v>441</v>
      </c>
      <c r="B227" s="43" t="n">
        <v>0.5</v>
      </c>
      <c r="C227" s="41" t="s">
        <v>436</v>
      </c>
    </row>
    <row r="228" customFormat="false" ht="15" hidden="false" customHeight="true" outlineLevel="0" collapsed="false">
      <c r="A228" s="42" t="s">
        <v>442</v>
      </c>
      <c r="B228" s="43" t="n">
        <v>0.15</v>
      </c>
      <c r="C228" s="41" t="s">
        <v>436</v>
      </c>
    </row>
    <row r="229" customFormat="false" ht="15" hidden="false" customHeight="true" outlineLevel="0" collapsed="false">
      <c r="A229" s="42" t="s">
        <v>443</v>
      </c>
      <c r="B229" s="43" t="n">
        <v>0.25</v>
      </c>
      <c r="C229" s="41" t="s">
        <v>444</v>
      </c>
    </row>
    <row r="230" customFormat="false" ht="15" hidden="false" customHeight="true" outlineLevel="0" collapsed="false">
      <c r="A230" s="42" t="s">
        <v>445</v>
      </c>
      <c r="B230" s="43" t="n">
        <v>12</v>
      </c>
      <c r="C230" s="41" t="s">
        <v>446</v>
      </c>
    </row>
    <row r="231" customFormat="false" ht="15" hidden="false" customHeight="true" outlineLevel="0" collapsed="false">
      <c r="A231" s="42" t="s">
        <v>447</v>
      </c>
      <c r="B231" s="43" t="n">
        <v>6</v>
      </c>
      <c r="C231" s="41" t="s">
        <v>446</v>
      </c>
    </row>
    <row r="232" customFormat="false" ht="15" hidden="false" customHeight="true" outlineLevel="0" collapsed="false">
      <c r="A232" s="42" t="s">
        <v>448</v>
      </c>
      <c r="B232" s="43" t="n">
        <v>2</v>
      </c>
      <c r="C232" s="41" t="s">
        <v>446</v>
      </c>
    </row>
    <row r="233" customFormat="false" ht="15" hidden="false" customHeight="true" outlineLevel="0" collapsed="false">
      <c r="A233" s="42" t="s">
        <v>449</v>
      </c>
      <c r="B233" s="43" t="n">
        <v>1</v>
      </c>
      <c r="C233" s="41" t="s">
        <v>450</v>
      </c>
    </row>
    <row r="234" customFormat="false" ht="15" hidden="false" customHeight="true" outlineLevel="0" collapsed="false">
      <c r="A234" s="42" t="s">
        <v>451</v>
      </c>
      <c r="B234" s="43" t="n">
        <v>2</v>
      </c>
      <c r="C234" s="41" t="s">
        <v>452</v>
      </c>
    </row>
    <row r="235" customFormat="false" ht="15" hidden="false" customHeight="true" outlineLevel="0" collapsed="false">
      <c r="A235" s="42" t="s">
        <v>453</v>
      </c>
      <c r="B235" s="43" t="n">
        <v>1</v>
      </c>
      <c r="C235" s="41" t="s">
        <v>454</v>
      </c>
    </row>
    <row r="236" customFormat="false" ht="15" hidden="false" customHeight="true" outlineLevel="0" collapsed="false">
      <c r="A236" s="42" t="s">
        <v>455</v>
      </c>
      <c r="B236" s="43" t="n">
        <v>0.5</v>
      </c>
      <c r="C236" s="41" t="s">
        <v>456</v>
      </c>
    </row>
    <row r="237" customFormat="false" ht="15" hidden="false" customHeight="true" outlineLevel="0" collapsed="false">
      <c r="A237" s="42" t="s">
        <v>457</v>
      </c>
      <c r="B237" s="43" t="n">
        <v>0.5</v>
      </c>
      <c r="C237" s="41" t="s">
        <v>458</v>
      </c>
    </row>
    <row r="238" customFormat="false" ht="15" hidden="false" customHeight="true" outlineLevel="0" collapsed="false">
      <c r="A238" s="42" t="s">
        <v>459</v>
      </c>
      <c r="B238" s="43" t="n">
        <v>1</v>
      </c>
      <c r="C238" s="41" t="s">
        <v>454</v>
      </c>
    </row>
    <row r="239" customFormat="false" ht="15" hidden="false" customHeight="true" outlineLevel="0" collapsed="false">
      <c r="A239" s="42" t="s">
        <v>460</v>
      </c>
      <c r="B239" s="43" t="n">
        <v>40</v>
      </c>
      <c r="C239" s="41" t="s">
        <v>461</v>
      </c>
    </row>
    <row r="240" customFormat="false" ht="15" hidden="false" customHeight="true" outlineLevel="0" collapsed="false">
      <c r="A240" s="42" t="s">
        <v>462</v>
      </c>
      <c r="B240" s="43" t="n">
        <v>30</v>
      </c>
      <c r="C240" s="41" t="s">
        <v>454</v>
      </c>
    </row>
    <row r="241" customFormat="false" ht="15" hidden="false" customHeight="true" outlineLevel="0" collapsed="false">
      <c r="A241" s="42" t="s">
        <v>463</v>
      </c>
      <c r="B241" s="43" t="n">
        <v>30</v>
      </c>
      <c r="C241" s="41" t="s">
        <v>464</v>
      </c>
    </row>
    <row r="243" customFormat="false" ht="15" hidden="false" customHeight="true" outlineLevel="0" collapsed="false">
      <c r="A243" s="57" t="s">
        <v>465</v>
      </c>
    </row>
    <row r="244" customFormat="false" ht="15" hidden="false" customHeight="true" outlineLevel="0" collapsed="false">
      <c r="A244" s="9" t="s">
        <v>132</v>
      </c>
      <c r="B244" s="9" t="s">
        <v>42</v>
      </c>
      <c r="C244" s="9" t="s">
        <v>133</v>
      </c>
    </row>
    <row r="245" customFormat="false" ht="15" hidden="false" customHeight="true" outlineLevel="0" collapsed="false">
      <c r="A245" s="42" t="s">
        <v>466</v>
      </c>
      <c r="B245" s="43" t="n">
        <v>1</v>
      </c>
      <c r="C245" s="41" t="s">
        <v>467</v>
      </c>
    </row>
    <row r="246" customFormat="false" ht="15" hidden="false" customHeight="true" outlineLevel="0" collapsed="false">
      <c r="A246" s="42" t="s">
        <v>468</v>
      </c>
      <c r="B246" s="43" t="n">
        <v>0.5</v>
      </c>
      <c r="C246" s="41" t="s">
        <v>469</v>
      </c>
    </row>
    <row r="247" customFormat="false" ht="15" hidden="false" customHeight="true" outlineLevel="0" collapsed="false">
      <c r="A247" s="42" t="s">
        <v>470</v>
      </c>
      <c r="B247" s="43" t="n">
        <v>0.5</v>
      </c>
      <c r="C247" s="41" t="s">
        <v>469</v>
      </c>
    </row>
    <row r="248" customFormat="false" ht="15" hidden="false" customHeight="true" outlineLevel="0" collapsed="false">
      <c r="A248" s="42" t="s">
        <v>471</v>
      </c>
      <c r="B248" s="43" t="n">
        <v>3</v>
      </c>
      <c r="C248" s="41" t="s">
        <v>472</v>
      </c>
    </row>
    <row r="249" customFormat="false" ht="15" hidden="false" customHeight="true" outlineLevel="0" collapsed="false">
      <c r="A249" s="42" t="s">
        <v>473</v>
      </c>
      <c r="B249" s="43" t="n">
        <v>0.5</v>
      </c>
      <c r="C249" s="41" t="s">
        <v>472</v>
      </c>
    </row>
    <row r="250" customFormat="false" ht="15" hidden="false" customHeight="true" outlineLevel="0" collapsed="false">
      <c r="A250" s="42" t="s">
        <v>474</v>
      </c>
      <c r="B250" s="43" t="n">
        <v>2</v>
      </c>
      <c r="C250" s="41" t="s">
        <v>475</v>
      </c>
    </row>
    <row r="251" customFormat="false" ht="15" hidden="false" customHeight="true" outlineLevel="0" collapsed="false">
      <c r="A251" s="42" t="s">
        <v>476</v>
      </c>
      <c r="B251" s="43" t="n">
        <v>2</v>
      </c>
      <c r="C251" s="41" t="s">
        <v>477</v>
      </c>
    </row>
    <row r="252" customFormat="false" ht="15" hidden="false" customHeight="true" outlineLevel="0" collapsed="false">
      <c r="A252" s="42" t="s">
        <v>478</v>
      </c>
      <c r="B252" s="43" t="n">
        <v>3</v>
      </c>
      <c r="C252" s="41" t="s">
        <v>479</v>
      </c>
    </row>
    <row r="253" customFormat="false" ht="15" hidden="false" customHeight="true" outlineLevel="0" collapsed="false">
      <c r="A253" s="42" t="s">
        <v>480</v>
      </c>
      <c r="B253" s="43" t="n">
        <v>1</v>
      </c>
      <c r="C253" s="41" t="s">
        <v>481</v>
      </c>
    </row>
    <row r="254" customFormat="false" ht="15" hidden="false" customHeight="true" outlineLevel="0" collapsed="false">
      <c r="A254" s="42" t="s">
        <v>482</v>
      </c>
      <c r="B254" s="43" t="n">
        <v>10</v>
      </c>
      <c r="C254" s="41" t="s">
        <v>483</v>
      </c>
    </row>
    <row r="255" customFormat="false" ht="15" hidden="false" customHeight="true" outlineLevel="0" collapsed="false">
      <c r="A255" s="42" t="s">
        <v>484</v>
      </c>
      <c r="B255" s="43" t="n">
        <v>10</v>
      </c>
      <c r="C255" s="41" t="s">
        <v>483</v>
      </c>
    </row>
    <row r="256" customFormat="false" ht="15" hidden="false" customHeight="true" outlineLevel="0" collapsed="false">
      <c r="A256" s="42" t="s">
        <v>485</v>
      </c>
      <c r="B256" s="43" t="n">
        <v>25</v>
      </c>
      <c r="C256" s="41" t="s">
        <v>486</v>
      </c>
    </row>
    <row r="257" customFormat="false" ht="15" hidden="false" customHeight="true" outlineLevel="0" collapsed="false">
      <c r="A257" s="42" t="s">
        <v>487</v>
      </c>
      <c r="B257" s="43" t="n">
        <v>2</v>
      </c>
      <c r="C257" s="41" t="s">
        <v>483</v>
      </c>
    </row>
    <row r="258" customFormat="false" ht="15" hidden="false" customHeight="true" outlineLevel="0" collapsed="false">
      <c r="A258" s="42" t="s">
        <v>488</v>
      </c>
      <c r="B258" s="43" t="n">
        <v>2</v>
      </c>
      <c r="C258" s="41" t="s">
        <v>489</v>
      </c>
    </row>
    <row r="259" customFormat="false" ht="21.75" hidden="false" customHeight="true" outlineLevel="0" collapsed="false">
      <c r="A259" s="42" t="s">
        <v>490</v>
      </c>
      <c r="B259" s="43" t="n">
        <v>3</v>
      </c>
      <c r="C259" s="41" t="s">
        <v>491</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492</v>
      </c>
      <c r="B2" s="3"/>
      <c r="C2" s="3"/>
      <c r="D2" s="3"/>
      <c r="E2" s="3"/>
    </row>
    <row r="4" customFormat="false" ht="15" hidden="false" customHeight="true" outlineLevel="0" collapsed="false">
      <c r="A4" s="58" t="s">
        <v>493</v>
      </c>
      <c r="B4" s="58" t="s">
        <v>494</v>
      </c>
      <c r="C4" s="58" t="s">
        <v>495</v>
      </c>
      <c r="D4" s="58" t="s">
        <v>496</v>
      </c>
      <c r="E4" s="58" t="s">
        <v>497</v>
      </c>
    </row>
    <row r="5" customFormat="false" ht="31.5" hidden="false" customHeight="true" outlineLevel="0" collapsed="false">
      <c r="A5" s="27" t="s">
        <v>498</v>
      </c>
      <c r="B5" s="27" t="s">
        <v>499</v>
      </c>
      <c r="C5" s="27" t="s">
        <v>500</v>
      </c>
      <c r="D5" s="27" t="s">
        <v>501</v>
      </c>
      <c r="E5" s="27" t="s">
        <v>502</v>
      </c>
    </row>
    <row r="6" customFormat="false" ht="31.5" hidden="false" customHeight="true" outlineLevel="0" collapsed="false">
      <c r="A6" s="59" t="s">
        <v>503</v>
      </c>
      <c r="B6" s="59" t="s">
        <v>504</v>
      </c>
      <c r="C6" s="59" t="s">
        <v>505</v>
      </c>
      <c r="D6" s="59" t="s">
        <v>506</v>
      </c>
      <c r="E6" s="59" t="s">
        <v>502</v>
      </c>
    </row>
    <row r="7" customFormat="false" ht="31.5" hidden="false" customHeight="true" outlineLevel="0" collapsed="false">
      <c r="A7" s="27" t="s">
        <v>507</v>
      </c>
      <c r="B7" s="27" t="s">
        <v>508</v>
      </c>
      <c r="C7" s="27" t="s">
        <v>509</v>
      </c>
      <c r="D7" s="27" t="s">
        <v>510</v>
      </c>
      <c r="E7" s="27" t="s">
        <v>502</v>
      </c>
    </row>
    <row r="8" customFormat="false" ht="31.5" hidden="false" customHeight="true" outlineLevel="0" collapsed="false">
      <c r="A8" s="59" t="s">
        <v>511</v>
      </c>
      <c r="B8" s="59" t="s">
        <v>512</v>
      </c>
      <c r="C8" s="59" t="s">
        <v>513</v>
      </c>
      <c r="D8" s="59" t="s">
        <v>514</v>
      </c>
      <c r="E8" s="59" t="s">
        <v>502</v>
      </c>
    </row>
    <row r="9" customFormat="false" ht="31.5" hidden="false" customHeight="true" outlineLevel="0" collapsed="false">
      <c r="A9" s="27" t="s">
        <v>515</v>
      </c>
      <c r="B9" s="27" t="s">
        <v>516</v>
      </c>
      <c r="C9" s="27" t="s">
        <v>517</v>
      </c>
      <c r="D9" s="27" t="s">
        <v>518</v>
      </c>
      <c r="E9" s="27" t="s">
        <v>502</v>
      </c>
    </row>
    <row r="10" customFormat="false" ht="31.5" hidden="false" customHeight="true" outlineLevel="0" collapsed="false">
      <c r="A10" s="59" t="s">
        <v>519</v>
      </c>
      <c r="B10" s="59" t="s">
        <v>520</v>
      </c>
      <c r="C10" s="59" t="s">
        <v>521</v>
      </c>
      <c r="D10" s="59" t="s">
        <v>522</v>
      </c>
      <c r="E10" s="59" t="s">
        <v>502</v>
      </c>
    </row>
    <row r="11" customFormat="false" ht="31.5" hidden="false" customHeight="true" outlineLevel="0" collapsed="false">
      <c r="A11" s="27" t="s">
        <v>523</v>
      </c>
      <c r="B11" s="27" t="s">
        <v>524</v>
      </c>
      <c r="C11" s="27" t="s">
        <v>525</v>
      </c>
      <c r="D11" s="27" t="s">
        <v>526</v>
      </c>
      <c r="E11" s="27" t="s">
        <v>502</v>
      </c>
    </row>
    <row r="12" customFormat="false" ht="31.5" hidden="false" customHeight="true" outlineLevel="0" collapsed="false">
      <c r="A12" s="59" t="s">
        <v>527</v>
      </c>
      <c r="B12" s="59" t="s">
        <v>528</v>
      </c>
      <c r="C12" s="59" t="s">
        <v>529</v>
      </c>
      <c r="D12" s="59" t="s">
        <v>530</v>
      </c>
      <c r="E12" s="59" t="s">
        <v>502</v>
      </c>
    </row>
    <row r="14" customFormat="false" ht="15" hidden="false" customHeight="true" outlineLevel="0" collapsed="false">
      <c r="A14" s="6" t="s">
        <v>531</v>
      </c>
      <c r="B14" s="6"/>
      <c r="C14" s="6"/>
      <c r="D14" s="6"/>
      <c r="E14" s="6"/>
    </row>
    <row r="15" customFormat="false" ht="15" hidden="false" customHeight="true" outlineLevel="0" collapsed="false">
      <c r="A15" s="9" t="s">
        <v>532</v>
      </c>
      <c r="B15" s="9" t="s">
        <v>533</v>
      </c>
      <c r="C15" s="9" t="s">
        <v>534</v>
      </c>
      <c r="D15" s="9" t="s">
        <v>535</v>
      </c>
      <c r="E15" s="9" t="s">
        <v>95</v>
      </c>
    </row>
    <row r="16" customFormat="false" ht="31.5" hidden="false" customHeight="true" outlineLevel="0" collapsed="false">
      <c r="A16" s="60" t="s">
        <v>536</v>
      </c>
      <c r="B16" s="60" t="s">
        <v>537</v>
      </c>
      <c r="C16" s="60" t="s">
        <v>538</v>
      </c>
      <c r="D16" s="60" t="s">
        <v>539</v>
      </c>
      <c r="E16" s="60" t="s">
        <v>540</v>
      </c>
    </row>
    <row r="17" customFormat="false" ht="31.5" hidden="false" customHeight="true" outlineLevel="0" collapsed="false">
      <c r="A17" s="59" t="s">
        <v>541</v>
      </c>
      <c r="B17" s="59" t="s">
        <v>542</v>
      </c>
      <c r="C17" s="59" t="s">
        <v>543</v>
      </c>
      <c r="D17" s="59" t="s">
        <v>544</v>
      </c>
      <c r="E17" s="59" t="s">
        <v>545</v>
      </c>
    </row>
    <row r="18" customFormat="false" ht="31.5" hidden="false" customHeight="true" outlineLevel="0" collapsed="false">
      <c r="A18" s="60" t="s">
        <v>546</v>
      </c>
      <c r="B18" s="60" t="s">
        <v>547</v>
      </c>
      <c r="C18" s="60" t="s">
        <v>548</v>
      </c>
      <c r="D18" s="60" t="s">
        <v>549</v>
      </c>
      <c r="E18" s="60" t="s">
        <v>550</v>
      </c>
    </row>
    <row r="20" customFormat="false" ht="15" hidden="false" customHeight="true" outlineLevel="0" collapsed="false">
      <c r="A20" s="24" t="s">
        <v>551</v>
      </c>
      <c r="B20" s="24"/>
      <c r="C20" s="24"/>
      <c r="D20" s="24"/>
      <c r="E20" s="24"/>
    </row>
    <row r="21" customFormat="false" ht="15" hidden="false" customHeight="true" outlineLevel="0" collapsed="false">
      <c r="A21" s="9" t="s">
        <v>552</v>
      </c>
      <c r="B21" s="9" t="s">
        <v>553</v>
      </c>
      <c r="C21" s="9" t="s">
        <v>554</v>
      </c>
      <c r="D21" s="9" t="s">
        <v>555</v>
      </c>
      <c r="E21" s="9" t="s">
        <v>556</v>
      </c>
    </row>
    <row r="22" customFormat="false" ht="27.75" hidden="false" customHeight="true" outlineLevel="0" collapsed="false">
      <c r="A22" s="27" t="s">
        <v>557</v>
      </c>
      <c r="B22" s="27" t="s">
        <v>558</v>
      </c>
      <c r="C22" s="27" t="s">
        <v>559</v>
      </c>
      <c r="D22" s="27" t="s">
        <v>560</v>
      </c>
      <c r="E22" s="27" t="s">
        <v>561</v>
      </c>
    </row>
    <row r="23" customFormat="false" ht="27.75" hidden="false" customHeight="true" outlineLevel="0" collapsed="false">
      <c r="A23" s="59" t="s">
        <v>562</v>
      </c>
      <c r="B23" s="59" t="s">
        <v>563</v>
      </c>
      <c r="C23" s="59" t="s">
        <v>564</v>
      </c>
      <c r="D23" s="59" t="s">
        <v>565</v>
      </c>
      <c r="E23" s="59" t="s">
        <v>566</v>
      </c>
    </row>
    <row r="24" customFormat="false" ht="27.75" hidden="false" customHeight="true" outlineLevel="0" collapsed="false">
      <c r="A24" s="27" t="s">
        <v>567</v>
      </c>
      <c r="B24" s="27" t="s">
        <v>568</v>
      </c>
      <c r="C24" s="27" t="s">
        <v>569</v>
      </c>
      <c r="D24" s="27" t="s">
        <v>570</v>
      </c>
      <c r="E24" s="27" t="s">
        <v>571</v>
      </c>
    </row>
    <row r="25" customFormat="false" ht="27.75" hidden="false" customHeight="true" outlineLevel="0" collapsed="false">
      <c r="A25" s="59" t="s">
        <v>572</v>
      </c>
      <c r="B25" s="59" t="s">
        <v>568</v>
      </c>
      <c r="C25" s="59" t="s">
        <v>573</v>
      </c>
      <c r="D25" s="59" t="s">
        <v>574</v>
      </c>
      <c r="E25" s="59" t="s">
        <v>575</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576</v>
      </c>
      <c r="B2" s="3"/>
      <c r="C2" s="3"/>
      <c r="D2" s="3"/>
      <c r="E2" s="3"/>
      <c r="F2" s="3"/>
      <c r="G2" s="3"/>
    </row>
    <row r="4" customFormat="false" ht="15" hidden="false" customHeight="true" outlineLevel="0" collapsed="false">
      <c r="A4" s="58" t="s">
        <v>577</v>
      </c>
      <c r="B4" s="58" t="s">
        <v>578</v>
      </c>
      <c r="C4" s="58" t="s">
        <v>579</v>
      </c>
      <c r="D4" s="58" t="s">
        <v>580</v>
      </c>
      <c r="E4" s="58" t="s">
        <v>581</v>
      </c>
      <c r="F4" s="58" t="s">
        <v>5</v>
      </c>
      <c r="G4" s="9" t="s">
        <v>582</v>
      </c>
    </row>
    <row r="5" customFormat="false" ht="30" hidden="false" customHeight="true" outlineLevel="0" collapsed="false">
      <c r="A5" s="27" t="s">
        <v>583</v>
      </c>
      <c r="B5" s="27" t="s">
        <v>584</v>
      </c>
      <c r="C5" s="27" t="s">
        <v>134</v>
      </c>
      <c r="D5" s="61" t="n">
        <f aca="false">Assumptions!B41</f>
        <v>24</v>
      </c>
      <c r="E5" s="27" t="s">
        <v>585</v>
      </c>
      <c r="F5" s="27" t="s">
        <v>98</v>
      </c>
      <c r="G5" s="27" t="s">
        <v>586</v>
      </c>
    </row>
    <row r="6" customFormat="false" ht="30" hidden="false" customHeight="true" outlineLevel="0" collapsed="false">
      <c r="A6" s="59" t="s">
        <v>587</v>
      </c>
      <c r="B6" s="59" t="s">
        <v>588</v>
      </c>
      <c r="C6" s="59" t="s">
        <v>589</v>
      </c>
      <c r="D6" s="61" t="n">
        <f aca="false">Assumptions!B42</f>
        <v>24</v>
      </c>
      <c r="E6" s="59" t="s">
        <v>590</v>
      </c>
      <c r="F6" s="59" t="s">
        <v>98</v>
      </c>
      <c r="G6" s="59" t="s">
        <v>591</v>
      </c>
    </row>
    <row r="7" customFormat="false" ht="30" hidden="false" customHeight="true" outlineLevel="0" collapsed="false">
      <c r="A7" s="27" t="s">
        <v>228</v>
      </c>
      <c r="B7" s="27" t="s">
        <v>592</v>
      </c>
      <c r="C7" s="27" t="s">
        <v>593</v>
      </c>
      <c r="D7" s="61" t="n">
        <f aca="false">Assumptions!B44</f>
        <v>120</v>
      </c>
      <c r="E7" s="27" t="s">
        <v>594</v>
      </c>
      <c r="F7" s="27" t="s">
        <v>98</v>
      </c>
      <c r="G7" s="27" t="s">
        <v>595</v>
      </c>
    </row>
    <row r="8" customFormat="false" ht="30" hidden="false" customHeight="true" outlineLevel="0" collapsed="false">
      <c r="A8" s="59" t="s">
        <v>596</v>
      </c>
      <c r="B8" s="59" t="s">
        <v>597</v>
      </c>
      <c r="C8" s="59" t="s">
        <v>598</v>
      </c>
      <c r="D8" s="61" t="n">
        <f aca="false">Assumptions!B46</f>
        <v>400</v>
      </c>
      <c r="E8" s="59" t="s">
        <v>599</v>
      </c>
      <c r="F8" s="59" t="s">
        <v>100</v>
      </c>
      <c r="G8" s="59" t="s">
        <v>600</v>
      </c>
    </row>
    <row r="9" customFormat="false" ht="30" hidden="false" customHeight="true" outlineLevel="0" collapsed="false">
      <c r="A9" s="27" t="s">
        <v>601</v>
      </c>
      <c r="B9" s="27" t="s">
        <v>602</v>
      </c>
      <c r="C9" s="27" t="s">
        <v>603</v>
      </c>
      <c r="D9" s="61" t="n">
        <f aca="false">Assumptions!B45</f>
        <v>120</v>
      </c>
      <c r="E9" s="27" t="s">
        <v>604</v>
      </c>
      <c r="F9" s="27" t="s">
        <v>98</v>
      </c>
      <c r="G9" s="27" t="s">
        <v>605</v>
      </c>
    </row>
    <row r="10" customFormat="false" ht="30" hidden="false" customHeight="true" outlineLevel="0" collapsed="false">
      <c r="A10" s="59" t="s">
        <v>219</v>
      </c>
      <c r="B10" s="59" t="s">
        <v>606</v>
      </c>
      <c r="C10" s="59" t="s">
        <v>607</v>
      </c>
      <c r="D10" s="59" t="s">
        <v>502</v>
      </c>
      <c r="E10" s="59" t="s">
        <v>608</v>
      </c>
      <c r="F10" s="59" t="s">
        <v>98</v>
      </c>
      <c r="G10" s="59" t="s">
        <v>609</v>
      </c>
    </row>
    <row r="11" customFormat="false" ht="30" hidden="false" customHeight="true" outlineLevel="0" collapsed="false">
      <c r="A11" s="27" t="s">
        <v>610</v>
      </c>
      <c r="B11" s="27" t="s">
        <v>611</v>
      </c>
      <c r="C11" s="27" t="s">
        <v>607</v>
      </c>
      <c r="D11" s="27" t="s">
        <v>21</v>
      </c>
      <c r="E11" s="27" t="s">
        <v>612</v>
      </c>
      <c r="F11" s="27" t="s">
        <v>98</v>
      </c>
      <c r="G11" s="27" t="s">
        <v>613</v>
      </c>
    </row>
    <row r="12" customFormat="false" ht="30" hidden="false" customHeight="true" outlineLevel="0" collapsed="false">
      <c r="A12" s="59" t="s">
        <v>614</v>
      </c>
      <c r="B12" s="59" t="s">
        <v>615</v>
      </c>
      <c r="C12" s="59" t="s">
        <v>607</v>
      </c>
      <c r="D12" s="59" t="s">
        <v>616</v>
      </c>
      <c r="E12" s="59" t="s">
        <v>617</v>
      </c>
      <c r="F12" s="59" t="s">
        <v>100</v>
      </c>
      <c r="G12" s="59" t="s">
        <v>618</v>
      </c>
    </row>
    <row r="13" customFormat="false" ht="30" hidden="false" customHeight="true" outlineLevel="0" collapsed="false">
      <c r="A13" s="27" t="s">
        <v>619</v>
      </c>
      <c r="B13" s="27" t="s">
        <v>620</v>
      </c>
      <c r="C13" s="27" t="s">
        <v>621</v>
      </c>
      <c r="D13" s="61" t="n">
        <f aca="false">Assumptions!B43</f>
        <v>168</v>
      </c>
      <c r="E13" s="27" t="s">
        <v>622</v>
      </c>
      <c r="F13" s="27" t="s">
        <v>98</v>
      </c>
      <c r="G13" s="27" t="s">
        <v>623</v>
      </c>
    </row>
    <row r="14" customFormat="false" ht="30" hidden="false" customHeight="true" outlineLevel="0" collapsed="false">
      <c r="A14" s="59" t="s">
        <v>624</v>
      </c>
      <c r="B14" s="59" t="s">
        <v>625</v>
      </c>
      <c r="C14" s="59" t="s">
        <v>626</v>
      </c>
      <c r="D14" s="61" t="n">
        <f aca="false">Assumptions!B48</f>
        <v>2</v>
      </c>
      <c r="E14" s="59" t="s">
        <v>627</v>
      </c>
      <c r="F14" s="59" t="s">
        <v>100</v>
      </c>
      <c r="G14" s="59" t="s">
        <v>628</v>
      </c>
    </row>
    <row r="15" customFormat="false" ht="30" hidden="false" customHeight="true" outlineLevel="0" collapsed="false">
      <c r="A15" s="27" t="s">
        <v>629</v>
      </c>
      <c r="B15" s="27" t="s">
        <v>630</v>
      </c>
      <c r="C15" s="27" t="s">
        <v>631</v>
      </c>
      <c r="D15" s="61" t="n">
        <f aca="false">Assumptions!B50</f>
        <v>5</v>
      </c>
      <c r="E15" s="27" t="s">
        <v>632</v>
      </c>
      <c r="F15" s="27" t="s">
        <v>100</v>
      </c>
      <c r="G15" s="27" t="s">
        <v>633</v>
      </c>
    </row>
    <row r="16" customFormat="false" ht="30" hidden="false" customHeight="true" outlineLevel="0" collapsed="false">
      <c r="A16" s="59" t="s">
        <v>634</v>
      </c>
      <c r="B16" s="59" t="s">
        <v>635</v>
      </c>
      <c r="C16" s="59" t="s">
        <v>636</v>
      </c>
      <c r="D16" s="61" t="n">
        <f aca="false">Assumptions!B49</f>
        <v>4</v>
      </c>
      <c r="E16" s="59" t="s">
        <v>151</v>
      </c>
      <c r="F16" s="59" t="s">
        <v>102</v>
      </c>
      <c r="G16" s="59" t="s">
        <v>637</v>
      </c>
    </row>
    <row r="17" customFormat="false" ht="30" hidden="false" customHeight="true" outlineLevel="0" collapsed="false">
      <c r="A17" s="27" t="s">
        <v>638</v>
      </c>
      <c r="B17" s="27" t="s">
        <v>639</v>
      </c>
      <c r="C17" s="27" t="s">
        <v>640</v>
      </c>
      <c r="D17" s="61" t="n">
        <f aca="false">Assumptions!B47</f>
        <v>3</v>
      </c>
      <c r="E17" s="27" t="s">
        <v>641</v>
      </c>
      <c r="F17" s="27" t="s">
        <v>102</v>
      </c>
      <c r="G17" s="27" t="s">
        <v>642</v>
      </c>
    </row>
    <row r="18" customFormat="false" ht="30" hidden="false" customHeight="true" outlineLevel="0" collapsed="false">
      <c r="A18" s="59" t="s">
        <v>643</v>
      </c>
      <c r="B18" s="59" t="s">
        <v>644</v>
      </c>
      <c r="C18" s="59" t="s">
        <v>607</v>
      </c>
      <c r="D18" s="59" t="s">
        <v>502</v>
      </c>
      <c r="E18" s="59" t="s">
        <v>645</v>
      </c>
      <c r="F18" s="59" t="s">
        <v>104</v>
      </c>
      <c r="G18" s="59" t="s">
        <v>646</v>
      </c>
    </row>
    <row r="19" customFormat="false" ht="30" hidden="false" customHeight="true" outlineLevel="0" collapsed="false">
      <c r="A19" s="27" t="s">
        <v>647</v>
      </c>
      <c r="B19" s="27" t="s">
        <v>648</v>
      </c>
      <c r="C19" s="27" t="s">
        <v>649</v>
      </c>
      <c r="D19" s="61" t="n">
        <f aca="false">Assumptions!B47</f>
        <v>3</v>
      </c>
      <c r="E19" s="27" t="s">
        <v>650</v>
      </c>
      <c r="F19" s="27" t="s">
        <v>98</v>
      </c>
      <c r="G19" s="27" t="s">
        <v>651</v>
      </c>
    </row>
    <row r="20" customFormat="false" ht="30" hidden="false" customHeight="true" outlineLevel="0" collapsed="false">
      <c r="A20" s="59" t="s">
        <v>224</v>
      </c>
      <c r="B20" s="59" t="s">
        <v>652</v>
      </c>
      <c r="C20" s="59" t="s">
        <v>607</v>
      </c>
      <c r="D20" s="59" t="s">
        <v>502</v>
      </c>
      <c r="E20" s="59" t="s">
        <v>653</v>
      </c>
      <c r="F20" s="59" t="s">
        <v>100</v>
      </c>
      <c r="G20" s="59" t="s">
        <v>654</v>
      </c>
    </row>
    <row r="21" customFormat="false" ht="30" hidden="false" customHeight="true" outlineLevel="0" collapsed="false">
      <c r="A21" s="27" t="s">
        <v>655</v>
      </c>
      <c r="B21" s="27" t="s">
        <v>656</v>
      </c>
      <c r="C21" s="27" t="s">
        <v>589</v>
      </c>
      <c r="D21" s="61" t="n">
        <f aca="false">Assumptions!B42</f>
        <v>24</v>
      </c>
      <c r="E21" s="27" t="s">
        <v>657</v>
      </c>
      <c r="F21" s="27" t="s">
        <v>100</v>
      </c>
      <c r="G21" s="27" t="s">
        <v>658</v>
      </c>
    </row>
    <row r="22" customFormat="false" ht="30" hidden="false" customHeight="true" outlineLevel="0" collapsed="false">
      <c r="A22" s="59" t="s">
        <v>236</v>
      </c>
      <c r="B22" s="59" t="s">
        <v>659</v>
      </c>
      <c r="C22" s="59" t="s">
        <v>660</v>
      </c>
      <c r="D22" s="61" t="n">
        <f aca="false">Assumptions!B57</f>
        <v>2</v>
      </c>
      <c r="E22" s="59" t="s">
        <v>661</v>
      </c>
      <c r="F22" s="59" t="s">
        <v>100</v>
      </c>
      <c r="G22" s="59" t="s">
        <v>662</v>
      </c>
    </row>
    <row r="23" customFormat="false" ht="30" hidden="false" customHeight="true" outlineLevel="0" collapsed="false">
      <c r="A23" s="27" t="s">
        <v>663</v>
      </c>
      <c r="B23" s="27" t="s">
        <v>664</v>
      </c>
      <c r="C23" s="27" t="s">
        <v>626</v>
      </c>
      <c r="D23" s="61" t="n">
        <f aca="false">Assumptions!B48</f>
        <v>2</v>
      </c>
      <c r="E23" s="27" t="s">
        <v>665</v>
      </c>
      <c r="F23" s="27" t="s">
        <v>100</v>
      </c>
      <c r="G23" s="27" t="s">
        <v>666</v>
      </c>
    </row>
    <row r="24" customFormat="false" ht="30" hidden="false" customHeight="true" outlineLevel="0" collapsed="false">
      <c r="A24" s="59" t="s">
        <v>667</v>
      </c>
      <c r="B24" s="59" t="s">
        <v>668</v>
      </c>
      <c r="C24" s="59" t="s">
        <v>134</v>
      </c>
      <c r="D24" s="61" t="n">
        <f aca="false">Assumptions!B41</f>
        <v>24</v>
      </c>
      <c r="E24" s="59" t="s">
        <v>669</v>
      </c>
      <c r="F24" s="59" t="s">
        <v>98</v>
      </c>
      <c r="G24" s="59" t="s">
        <v>670</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671</v>
      </c>
      <c r="B2" s="3"/>
      <c r="C2" s="3"/>
      <c r="D2" s="3"/>
      <c r="E2" s="3"/>
    </row>
    <row r="4" customFormat="false" ht="15" hidden="false" customHeight="true" outlineLevel="0" collapsed="false">
      <c r="A4" s="6" t="s">
        <v>672</v>
      </c>
      <c r="B4" s="6"/>
      <c r="C4" s="6"/>
      <c r="D4" s="6"/>
      <c r="E4" s="6"/>
    </row>
    <row r="5" customFormat="false" ht="15" hidden="false" customHeight="true" outlineLevel="0" collapsed="false">
      <c r="A5" s="9" t="s">
        <v>110</v>
      </c>
      <c r="B5" s="9" t="s">
        <v>42</v>
      </c>
      <c r="C5" s="9" t="s">
        <v>673</v>
      </c>
      <c r="D5" s="9"/>
      <c r="E5" s="9"/>
    </row>
    <row r="6" customFormat="false" ht="15" hidden="false" customHeight="true" outlineLevel="0" collapsed="false">
      <c r="A6" s="4" t="s">
        <v>674</v>
      </c>
      <c r="B6" s="62" t="n">
        <f aca="false">Assumptions!B62</f>
        <v>1200</v>
      </c>
      <c r="C6" s="33" t="s">
        <v>675</v>
      </c>
      <c r="D6" s="33"/>
      <c r="E6" s="33"/>
    </row>
    <row r="7" customFormat="false" ht="15" hidden="false" customHeight="true" outlineLevel="0" collapsed="false">
      <c r="A7" s="4" t="s">
        <v>142</v>
      </c>
      <c r="B7" s="61" t="n">
        <f aca="false">Assumptions!B45</f>
        <v>120</v>
      </c>
      <c r="C7" s="33" t="s">
        <v>676</v>
      </c>
      <c r="D7" s="33"/>
      <c r="E7" s="33"/>
    </row>
    <row r="8" customFormat="false" ht="15" hidden="false" customHeight="true" outlineLevel="0" collapsed="false">
      <c r="A8" s="4" t="s">
        <v>677</v>
      </c>
      <c r="B8" s="63" t="n">
        <f aca="false">IF(B7=0,0,B6/B7)</f>
        <v>10</v>
      </c>
      <c r="C8" s="33" t="s">
        <v>678</v>
      </c>
      <c r="D8" s="33"/>
      <c r="E8" s="33"/>
    </row>
    <row r="9" customFormat="false" ht="15" hidden="false" customHeight="true" outlineLevel="0" collapsed="false">
      <c r="A9" s="4" t="s">
        <v>172</v>
      </c>
      <c r="B9" s="64" t="n">
        <f aca="false">Assumptions!B63</f>
        <v>1.3</v>
      </c>
      <c r="C9" s="33" t="s">
        <v>679</v>
      </c>
      <c r="D9" s="33"/>
      <c r="E9" s="33"/>
    </row>
    <row r="10" customFormat="false" ht="15" hidden="false" customHeight="true" outlineLevel="0" collapsed="false">
      <c r="A10" s="4" t="s">
        <v>55</v>
      </c>
      <c r="B10" s="32" t="n">
        <f aca="false">ROUNDUP(B8*B9,0)</f>
        <v>13</v>
      </c>
      <c r="C10" s="33" t="s">
        <v>680</v>
      </c>
      <c r="D10" s="33"/>
      <c r="E10" s="33"/>
    </row>
    <row r="12" customFormat="false" ht="15" hidden="false" customHeight="true" outlineLevel="0" collapsed="false">
      <c r="A12" s="6" t="s">
        <v>681</v>
      </c>
      <c r="B12" s="6"/>
      <c r="C12" s="6"/>
      <c r="D12" s="6"/>
      <c r="E12" s="6"/>
    </row>
    <row r="13" customFormat="false" ht="15" hidden="false" customHeight="true" outlineLevel="0" collapsed="false">
      <c r="A13" s="9" t="s">
        <v>682</v>
      </c>
      <c r="B13" s="9" t="s">
        <v>683</v>
      </c>
      <c r="C13" s="9" t="s">
        <v>684</v>
      </c>
      <c r="D13" s="9" t="s">
        <v>685</v>
      </c>
      <c r="E13" s="9" t="s">
        <v>578</v>
      </c>
    </row>
    <row r="14" customFormat="false" ht="15" hidden="false" customHeight="true" outlineLevel="0" collapsed="false">
      <c r="A14" s="59" t="s">
        <v>686</v>
      </c>
      <c r="B14" s="61" t="n">
        <f aca="false">Assumptions!B42</f>
        <v>24</v>
      </c>
      <c r="C14" s="65" t="n">
        <f aca="false">Assumptions!B54</f>
        <v>0.4</v>
      </c>
      <c r="D14" s="63" t="n">
        <f aca="false">B14*C14</f>
        <v>9.6</v>
      </c>
      <c r="E14" s="41" t="s">
        <v>687</v>
      </c>
    </row>
    <row r="15" customFormat="false" ht="15" hidden="false" customHeight="true" outlineLevel="0" collapsed="false">
      <c r="A15" s="27" t="s">
        <v>688</v>
      </c>
      <c r="B15" s="61" t="n">
        <f aca="false">Assumptions!B57</f>
        <v>2</v>
      </c>
      <c r="C15" s="65" t="n">
        <f aca="false">Assumptions!B55</f>
        <v>1.5</v>
      </c>
      <c r="D15" s="63" t="n">
        <f aca="false">B15*C15</f>
        <v>3</v>
      </c>
      <c r="E15" s="41" t="s">
        <v>689</v>
      </c>
    </row>
    <row r="16" customFormat="false" ht="15" hidden="false" customHeight="true" outlineLevel="0" collapsed="false">
      <c r="A16" s="59" t="s">
        <v>690</v>
      </c>
      <c r="B16" s="61" t="n">
        <f aca="false">Assumptions!B58</f>
        <v>6</v>
      </c>
      <c r="C16" s="65" t="n">
        <f aca="false">Assumptions!B56</f>
        <v>0.4</v>
      </c>
      <c r="D16" s="63" t="n">
        <f aca="false">B16*C16</f>
        <v>2.4</v>
      </c>
      <c r="E16" s="41"/>
    </row>
    <row r="17" customFormat="false" ht="15" hidden="false" customHeight="true" outlineLevel="0" collapsed="false">
      <c r="A17" s="27" t="s">
        <v>622</v>
      </c>
      <c r="B17" s="32" t="n">
        <f aca="false">ROUNDUP(B14*$B$10/Assumptions!B43,0)</f>
        <v>2</v>
      </c>
      <c r="C17" s="63" t="n">
        <v>1</v>
      </c>
      <c r="D17" s="63" t="n">
        <f aca="false">B17*C17</f>
        <v>2</v>
      </c>
      <c r="E17" s="41" t="s">
        <v>691</v>
      </c>
    </row>
    <row r="18" customFormat="false" ht="15" hidden="false" customHeight="true" outlineLevel="0" collapsed="false">
      <c r="A18" s="59" t="s">
        <v>692</v>
      </c>
      <c r="B18" s="32" t="n">
        <f aca="false">ROUNDUP(B14*$B$10/Assumptions!B44,0)</f>
        <v>3</v>
      </c>
      <c r="C18" s="63" t="n">
        <v>1</v>
      </c>
      <c r="D18" s="63" t="n">
        <f aca="false">B18*C18</f>
        <v>3</v>
      </c>
      <c r="E18" s="41" t="s">
        <v>693</v>
      </c>
    </row>
    <row r="19" customFormat="false" ht="15" hidden="false" customHeight="true" outlineLevel="0" collapsed="false">
      <c r="A19" s="27" t="s">
        <v>694</v>
      </c>
      <c r="B19" s="32" t="n">
        <f aca="false">ROUNDUP((B15+B16*Assumptions!B60)*$B$10/Assumptions!B59,0)</f>
        <v>2</v>
      </c>
      <c r="C19" s="63" t="n">
        <v>1</v>
      </c>
      <c r="D19" s="63" t="n">
        <f aca="false">B19*C19</f>
        <v>2</v>
      </c>
      <c r="E19" s="41" t="s">
        <v>695</v>
      </c>
    </row>
    <row r="20" customFormat="false" ht="15" hidden="false" customHeight="true" outlineLevel="0" collapsed="false">
      <c r="A20" s="59" t="s">
        <v>696</v>
      </c>
      <c r="B20" s="61" t="n">
        <f aca="false">Assumptions!B61</f>
        <v>2</v>
      </c>
      <c r="C20" s="63" t="n">
        <v>1</v>
      </c>
      <c r="D20" s="63" t="n">
        <f aca="false">B20*C20</f>
        <v>2</v>
      </c>
      <c r="E20" s="41" t="s">
        <v>169</v>
      </c>
    </row>
    <row r="21" customFormat="false" ht="15" hidden="false" customHeight="true" outlineLevel="0" collapsed="false">
      <c r="A21" s="20" t="s">
        <v>697</v>
      </c>
      <c r="B21" s="20"/>
      <c r="C21" s="20"/>
      <c r="D21" s="66" t="n">
        <f aca="false">SUM(D14:D20)</f>
        <v>24</v>
      </c>
      <c r="E21" s="20"/>
    </row>
    <row r="22" customFormat="false" ht="15" hidden="false" customHeight="true" outlineLevel="0" collapsed="false">
      <c r="A22" s="4" t="s">
        <v>698</v>
      </c>
      <c r="D22" s="65" t="n">
        <f aca="false">Assumptions!B41</f>
        <v>24</v>
      </c>
    </row>
    <row r="23" customFormat="false" ht="15" hidden="false" customHeight="true" outlineLevel="0" collapsed="false">
      <c r="A23" s="67" t="s">
        <v>699</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700</v>
      </c>
      <c r="B25" s="6"/>
      <c r="C25" s="6"/>
      <c r="D25" s="6"/>
      <c r="E25" s="6"/>
    </row>
    <row r="26" customFormat="false" ht="15" hidden="false" customHeight="true" outlineLevel="0" collapsed="false">
      <c r="A26" s="9" t="s">
        <v>682</v>
      </c>
      <c r="B26" s="9" t="s">
        <v>683</v>
      </c>
      <c r="C26" s="9" t="s">
        <v>684</v>
      </c>
      <c r="D26" s="9" t="s">
        <v>685</v>
      </c>
      <c r="E26" s="9" t="s">
        <v>578</v>
      </c>
    </row>
    <row r="27" customFormat="false" ht="15" hidden="false" customHeight="true" outlineLevel="0" collapsed="false">
      <c r="A27" s="27" t="s">
        <v>701</v>
      </c>
      <c r="B27" s="61" t="n">
        <f aca="false">Assumptions!B64</f>
        <v>10</v>
      </c>
      <c r="C27" s="65" t="n">
        <f aca="false">Assumptions!B54</f>
        <v>0.4</v>
      </c>
      <c r="D27" s="63" t="n">
        <f aca="false">B27*C27</f>
        <v>4</v>
      </c>
      <c r="E27" s="41" t="s">
        <v>175</v>
      </c>
    </row>
    <row r="28" customFormat="false" ht="15" hidden="false" customHeight="true" outlineLevel="0" collapsed="false">
      <c r="A28" s="59" t="s">
        <v>702</v>
      </c>
      <c r="B28" s="32" t="n">
        <f aca="false">ROUNDUP(B27*$B$10/Assumptions!B43,0)</f>
        <v>1</v>
      </c>
      <c r="C28" s="63" t="n">
        <v>1</v>
      </c>
      <c r="D28" s="63" t="n">
        <f aca="false">B28*C28</f>
        <v>1</v>
      </c>
      <c r="E28" s="41" t="s">
        <v>703</v>
      </c>
    </row>
    <row r="29" customFormat="false" ht="15" hidden="false" customHeight="true" outlineLevel="0" collapsed="false">
      <c r="A29" s="27" t="s">
        <v>704</v>
      </c>
      <c r="B29" s="32" t="n">
        <f aca="false">ROUNDUP(B27*$B$10/Assumptions!B44,0)</f>
        <v>2</v>
      </c>
      <c r="C29" s="63" t="n">
        <v>1</v>
      </c>
      <c r="D29" s="63" t="n">
        <f aca="false">B29*C29</f>
        <v>2</v>
      </c>
      <c r="E29" s="41"/>
    </row>
    <row r="30" customFormat="false" ht="15" hidden="false" customHeight="true" outlineLevel="0" collapsed="false">
      <c r="A30" s="4" t="s">
        <v>705</v>
      </c>
      <c r="D30" s="63" t="n">
        <f aca="false">SUM(D27:D29)</f>
        <v>7</v>
      </c>
    </row>
    <row r="31" customFormat="false" ht="15" hidden="false" customHeight="true" outlineLevel="0" collapsed="false">
      <c r="A31" s="4" t="s">
        <v>706</v>
      </c>
      <c r="D31" s="63" t="n">
        <f aca="false">Assumptions!B41-D30</f>
        <v>17</v>
      </c>
    </row>
    <row r="32" customFormat="false" ht="15" hidden="false" customHeight="true" outlineLevel="0" collapsed="false">
      <c r="A32" s="4" t="s">
        <v>707</v>
      </c>
      <c r="D32" s="32" t="n">
        <f aca="false">INT(D31/Assumptions!B65)</f>
        <v>17</v>
      </c>
    </row>
    <row r="33" customFormat="false" ht="15" hidden="false" customHeight="true" outlineLevel="0" collapsed="false">
      <c r="A33" s="4" t="s">
        <v>708</v>
      </c>
      <c r="D33" s="61" t="n">
        <f aca="false">Assumptions!B49</f>
        <v>4</v>
      </c>
    </row>
    <row r="34" customFormat="false" ht="15" hidden="false" customHeight="true" outlineLevel="0" collapsed="false">
      <c r="A34" s="67" t="s">
        <v>634</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709</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710</v>
      </c>
      <c r="B2" s="3"/>
      <c r="C2" s="3"/>
      <c r="D2" s="3"/>
      <c r="E2" s="3"/>
      <c r="F2" s="3"/>
      <c r="G2" s="3"/>
      <c r="H2" s="3"/>
      <c r="I2" s="3"/>
      <c r="J2" s="3"/>
      <c r="K2" s="3"/>
    </row>
    <row r="4" customFormat="false" ht="15" hidden="false" customHeight="true" outlineLevel="0" collapsed="false">
      <c r="A4" s="58" t="s">
        <v>493</v>
      </c>
      <c r="B4" s="58" t="s">
        <v>20</v>
      </c>
      <c r="C4" s="58" t="s">
        <v>711</v>
      </c>
      <c r="D4" s="58" t="s">
        <v>712</v>
      </c>
      <c r="E4" s="58" t="s">
        <v>713</v>
      </c>
      <c r="F4" s="58" t="s">
        <v>714</v>
      </c>
      <c r="G4" s="58" t="s">
        <v>715</v>
      </c>
      <c r="H4" s="58" t="s">
        <v>716</v>
      </c>
      <c r="I4" s="9" t="s">
        <v>582</v>
      </c>
      <c r="J4" s="9" t="s">
        <v>717</v>
      </c>
      <c r="K4" s="9" t="s">
        <v>718</v>
      </c>
    </row>
    <row r="5" customFormat="false" ht="36" hidden="false" customHeight="true" outlineLevel="0" collapsed="false">
      <c r="A5" s="27" t="s">
        <v>719</v>
      </c>
      <c r="B5" s="27" t="s">
        <v>23</v>
      </c>
      <c r="C5" s="27" t="s">
        <v>720</v>
      </c>
      <c r="D5" s="27" t="s">
        <v>721</v>
      </c>
      <c r="E5" s="27" t="s">
        <v>722</v>
      </c>
      <c r="F5" s="27" t="s">
        <v>723</v>
      </c>
      <c r="G5" s="27" t="s">
        <v>724</v>
      </c>
      <c r="H5" s="70" t="n">
        <v>1</v>
      </c>
      <c r="I5" s="27" t="s">
        <v>725</v>
      </c>
      <c r="J5" s="27" t="s">
        <v>726</v>
      </c>
      <c r="K5" s="27" t="s">
        <v>727</v>
      </c>
    </row>
    <row r="6" customFormat="false" ht="36" hidden="false" customHeight="true" outlineLevel="0" collapsed="false">
      <c r="A6" s="59" t="s">
        <v>728</v>
      </c>
      <c r="B6" s="59" t="s">
        <v>23</v>
      </c>
      <c r="C6" s="59" t="s">
        <v>729</v>
      </c>
      <c r="D6" s="59" t="s">
        <v>730</v>
      </c>
      <c r="E6" s="59" t="s">
        <v>731</v>
      </c>
      <c r="F6" s="59" t="s">
        <v>732</v>
      </c>
      <c r="G6" s="59" t="s">
        <v>733</v>
      </c>
      <c r="H6" s="70" t="n">
        <v>2</v>
      </c>
      <c r="I6" s="59" t="s">
        <v>734</v>
      </c>
      <c r="J6" s="59" t="s">
        <v>735</v>
      </c>
      <c r="K6" s="59" t="s">
        <v>736</v>
      </c>
    </row>
    <row r="7" customFormat="false" ht="36" hidden="false" customHeight="true" outlineLevel="0" collapsed="false">
      <c r="A7" s="27" t="s">
        <v>737</v>
      </c>
      <c r="B7" s="27" t="s">
        <v>26</v>
      </c>
      <c r="C7" s="27" t="s">
        <v>738</v>
      </c>
      <c r="D7" s="27" t="s">
        <v>739</v>
      </c>
      <c r="E7" s="27" t="s">
        <v>740</v>
      </c>
      <c r="F7" s="27" t="s">
        <v>741</v>
      </c>
      <c r="G7" s="27" t="s">
        <v>742</v>
      </c>
      <c r="H7" s="70" t="n">
        <v>1</v>
      </c>
      <c r="I7" s="27" t="s">
        <v>743</v>
      </c>
      <c r="J7" s="27" t="s">
        <v>744</v>
      </c>
      <c r="K7" s="27" t="s">
        <v>745</v>
      </c>
    </row>
    <row r="8" customFormat="false" ht="36" hidden="false" customHeight="true" outlineLevel="0" collapsed="false">
      <c r="A8" s="59" t="s">
        <v>746</v>
      </c>
      <c r="B8" s="59" t="s">
        <v>26</v>
      </c>
      <c r="C8" s="59" t="s">
        <v>747</v>
      </c>
      <c r="D8" s="59" t="s">
        <v>748</v>
      </c>
      <c r="E8" s="59" t="s">
        <v>749</v>
      </c>
      <c r="F8" s="59" t="s">
        <v>750</v>
      </c>
      <c r="G8" s="59" t="s">
        <v>751</v>
      </c>
      <c r="H8" s="70" t="n">
        <v>3</v>
      </c>
      <c r="I8" s="59" t="s">
        <v>752</v>
      </c>
      <c r="J8" s="59" t="s">
        <v>753</v>
      </c>
      <c r="K8" s="59" t="s">
        <v>754</v>
      </c>
    </row>
    <row r="9" customFormat="false" ht="36" hidden="false" customHeight="true" outlineLevel="0" collapsed="false">
      <c r="A9" s="27" t="s">
        <v>755</v>
      </c>
      <c r="B9" s="27" t="s">
        <v>29</v>
      </c>
      <c r="C9" s="27" t="s">
        <v>756</v>
      </c>
      <c r="D9" s="27" t="s">
        <v>757</v>
      </c>
      <c r="E9" s="27" t="s">
        <v>758</v>
      </c>
      <c r="F9" s="27" t="s">
        <v>759</v>
      </c>
      <c r="G9" s="27" t="s">
        <v>760</v>
      </c>
      <c r="H9" s="70" t="n">
        <v>2</v>
      </c>
      <c r="I9" s="27" t="s">
        <v>761</v>
      </c>
      <c r="J9" s="27" t="s">
        <v>762</v>
      </c>
      <c r="K9" s="27" t="s">
        <v>763</v>
      </c>
    </row>
    <row r="10" customFormat="false" ht="36" hidden="false" customHeight="true" outlineLevel="0" collapsed="false">
      <c r="A10" s="59" t="s">
        <v>764</v>
      </c>
      <c r="B10" s="59" t="s">
        <v>32</v>
      </c>
      <c r="C10" s="59" t="s">
        <v>765</v>
      </c>
      <c r="D10" s="59" t="s">
        <v>766</v>
      </c>
      <c r="E10" s="59" t="s">
        <v>767</v>
      </c>
      <c r="F10" s="59" t="s">
        <v>768</v>
      </c>
      <c r="G10" s="59" t="s">
        <v>769</v>
      </c>
      <c r="H10" s="70" t="n">
        <v>3</v>
      </c>
      <c r="I10" s="59" t="s">
        <v>770</v>
      </c>
      <c r="J10" s="59" t="s">
        <v>771</v>
      </c>
      <c r="K10" s="59" t="s">
        <v>772</v>
      </c>
    </row>
    <row r="11" customFormat="false" ht="36" hidden="false" customHeight="true" outlineLevel="0" collapsed="false">
      <c r="A11" s="27" t="s">
        <v>773</v>
      </c>
      <c r="B11" s="27" t="s">
        <v>35</v>
      </c>
      <c r="C11" s="27" t="s">
        <v>774</v>
      </c>
      <c r="D11" s="27" t="s">
        <v>775</v>
      </c>
      <c r="E11" s="27" t="s">
        <v>776</v>
      </c>
      <c r="F11" s="27" t="s">
        <v>777</v>
      </c>
      <c r="G11" s="27" t="s">
        <v>778</v>
      </c>
      <c r="H11" s="70" t="n">
        <v>2</v>
      </c>
      <c r="I11" s="27" t="s">
        <v>779</v>
      </c>
      <c r="J11" s="27" t="s">
        <v>780</v>
      </c>
      <c r="K11" s="27" t="s">
        <v>781</v>
      </c>
    </row>
    <row r="12" customFormat="false" ht="36" hidden="false" customHeight="true" outlineLevel="0" collapsed="false">
      <c r="A12" s="59" t="s">
        <v>782</v>
      </c>
      <c r="B12" s="59" t="s">
        <v>35</v>
      </c>
      <c r="C12" s="59" t="s">
        <v>783</v>
      </c>
      <c r="D12" s="59" t="s">
        <v>784</v>
      </c>
      <c r="E12" s="59" t="s">
        <v>785</v>
      </c>
      <c r="F12" s="59" t="s">
        <v>786</v>
      </c>
      <c r="G12" s="59" t="s">
        <v>787</v>
      </c>
      <c r="H12" s="70" t="n">
        <v>3</v>
      </c>
      <c r="I12" s="59" t="s">
        <v>788</v>
      </c>
      <c r="J12" s="59" t="s">
        <v>789</v>
      </c>
      <c r="K12" s="59" t="s">
        <v>790</v>
      </c>
    </row>
    <row r="13" customFormat="false" ht="36" hidden="false" customHeight="true" outlineLevel="0" collapsed="false">
      <c r="A13" s="27" t="s">
        <v>791</v>
      </c>
      <c r="B13" s="27" t="s">
        <v>35</v>
      </c>
      <c r="C13" s="27" t="s">
        <v>792</v>
      </c>
      <c r="D13" s="27" t="s">
        <v>793</v>
      </c>
      <c r="E13" s="27" t="s">
        <v>794</v>
      </c>
      <c r="F13" s="27" t="s">
        <v>795</v>
      </c>
      <c r="G13" s="27" t="s">
        <v>796</v>
      </c>
      <c r="H13" s="70" t="n">
        <v>4</v>
      </c>
      <c r="I13" s="27" t="s">
        <v>797</v>
      </c>
      <c r="J13" s="27" t="s">
        <v>798</v>
      </c>
      <c r="K13" s="27" t="s">
        <v>799</v>
      </c>
    </row>
    <row r="14" customFormat="false" ht="36" hidden="false" customHeight="true" outlineLevel="0" collapsed="false">
      <c r="A14" s="59" t="s">
        <v>800</v>
      </c>
      <c r="B14" s="59" t="s">
        <v>801</v>
      </c>
      <c r="C14" s="59" t="s">
        <v>802</v>
      </c>
      <c r="D14" s="59" t="s">
        <v>803</v>
      </c>
      <c r="E14" s="59" t="s">
        <v>804</v>
      </c>
      <c r="F14" s="59" t="s">
        <v>805</v>
      </c>
      <c r="G14" s="59" t="s">
        <v>806</v>
      </c>
      <c r="H14" s="70" t="n">
        <v>2</v>
      </c>
      <c r="I14" s="59" t="s">
        <v>807</v>
      </c>
      <c r="J14" s="59" t="s">
        <v>808</v>
      </c>
      <c r="K14" s="59" t="s">
        <v>809</v>
      </c>
    </row>
    <row r="16" customFormat="false" ht="15" hidden="false" customHeight="true" outlineLevel="0" collapsed="false">
      <c r="A16" s="24" t="s">
        <v>810</v>
      </c>
      <c r="B16" s="24"/>
      <c r="C16" s="24"/>
      <c r="D16" s="24"/>
      <c r="E16" s="24"/>
      <c r="F16" s="24"/>
      <c r="G16" s="24"/>
      <c r="H16" s="24"/>
    </row>
    <row r="17" customFormat="false" ht="15" hidden="false" customHeight="true" outlineLevel="0" collapsed="false">
      <c r="A17" s="26" t="s">
        <v>811</v>
      </c>
      <c r="B17" s="71" t="s">
        <v>812</v>
      </c>
      <c r="C17" s="71"/>
      <c r="D17" s="71"/>
      <c r="E17" s="71"/>
      <c r="F17" s="71"/>
      <c r="G17" s="71"/>
      <c r="H17" s="71"/>
    </row>
    <row r="18" customFormat="false" ht="15" hidden="false" customHeight="true" outlineLevel="0" collapsed="false">
      <c r="A18" s="26" t="s">
        <v>813</v>
      </c>
      <c r="B18" s="71" t="s">
        <v>814</v>
      </c>
      <c r="C18" s="71"/>
      <c r="D18" s="71"/>
      <c r="E18" s="71"/>
      <c r="F18" s="71"/>
      <c r="G18" s="71"/>
      <c r="H18" s="71"/>
    </row>
    <row r="19" customFormat="false" ht="15" hidden="false" customHeight="true" outlineLevel="0" collapsed="false">
      <c r="A19" s="26" t="s">
        <v>815</v>
      </c>
      <c r="B19" s="71" t="s">
        <v>816</v>
      </c>
      <c r="C19" s="71"/>
      <c r="D19" s="71"/>
      <c r="E19" s="71"/>
      <c r="F19" s="71"/>
      <c r="G19" s="71"/>
      <c r="H19" s="71"/>
    </row>
    <row r="20" customFormat="false" ht="15" hidden="false" customHeight="true" outlineLevel="0" collapsed="false">
      <c r="A20" s="26" t="s">
        <v>817</v>
      </c>
      <c r="B20" s="71" t="s">
        <v>818</v>
      </c>
      <c r="C20" s="71"/>
      <c r="D20" s="71"/>
      <c r="E20" s="71"/>
      <c r="F20" s="71"/>
      <c r="G20" s="71"/>
      <c r="H20" s="71"/>
    </row>
    <row r="21" customFormat="false" ht="15" hidden="false" customHeight="true" outlineLevel="0" collapsed="false">
      <c r="A21" s="26" t="s">
        <v>819</v>
      </c>
      <c r="B21" s="71" t="s">
        <v>820</v>
      </c>
      <c r="C21" s="71"/>
      <c r="D21" s="71"/>
      <c r="E21" s="71"/>
      <c r="F21" s="71"/>
      <c r="G21" s="71"/>
      <c r="H21" s="71"/>
    </row>
    <row r="22" customFormat="false" ht="15" hidden="false" customHeight="true" outlineLevel="0" collapsed="false">
      <c r="A22" s="26" t="s">
        <v>821</v>
      </c>
      <c r="B22" s="71" t="s">
        <v>822</v>
      </c>
      <c r="C22" s="71"/>
      <c r="D22" s="71"/>
      <c r="E22" s="71"/>
      <c r="F22" s="71"/>
      <c r="G22" s="71"/>
      <c r="H22" s="71"/>
    </row>
    <row r="23" customFormat="false" ht="15" hidden="false" customHeight="true" outlineLevel="0" collapsed="false">
      <c r="A23" s="26" t="s">
        <v>823</v>
      </c>
      <c r="B23" s="71" t="s">
        <v>824</v>
      </c>
      <c r="C23" s="71"/>
      <c r="D23" s="71"/>
      <c r="E23" s="71"/>
      <c r="F23" s="71"/>
      <c r="G23" s="71"/>
      <c r="H23" s="71"/>
    </row>
    <row r="25" customFormat="false" ht="15" hidden="false" customHeight="true" outlineLevel="0" collapsed="false">
      <c r="A25" s="72" t="s">
        <v>825</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826</v>
      </c>
      <c r="B2" s="3"/>
      <c r="C2" s="3"/>
      <c r="D2" s="3"/>
      <c r="E2" s="3"/>
      <c r="F2" s="3"/>
      <c r="G2" s="3"/>
      <c r="H2" s="3"/>
      <c r="I2" s="3"/>
      <c r="J2" s="3"/>
    </row>
    <row r="4" customFormat="false" ht="15" hidden="false" customHeight="true" outlineLevel="0" collapsed="false">
      <c r="A4" s="9" t="s">
        <v>493</v>
      </c>
      <c r="B4" s="9" t="s">
        <v>827</v>
      </c>
      <c r="C4" s="9" t="s">
        <v>577</v>
      </c>
      <c r="D4" s="9" t="s">
        <v>5</v>
      </c>
      <c r="E4" s="9" t="s">
        <v>828</v>
      </c>
      <c r="F4" s="9" t="s">
        <v>829</v>
      </c>
      <c r="G4" s="9" t="s">
        <v>830</v>
      </c>
      <c r="H4" s="9" t="s">
        <v>831</v>
      </c>
      <c r="I4" s="9" t="s">
        <v>44</v>
      </c>
      <c r="J4" s="9" t="s">
        <v>832</v>
      </c>
    </row>
    <row r="5" customFormat="false" ht="27" hidden="false" customHeight="true" outlineLevel="0" collapsed="false">
      <c r="A5" s="27" t="s">
        <v>833</v>
      </c>
      <c r="B5" s="27" t="s">
        <v>834</v>
      </c>
      <c r="C5" s="27" t="s">
        <v>23</v>
      </c>
      <c r="D5" s="27" t="s">
        <v>96</v>
      </c>
      <c r="E5" s="27" t="s">
        <v>835</v>
      </c>
      <c r="F5" s="27" t="s">
        <v>502</v>
      </c>
      <c r="G5" s="43" t="n">
        <v>5</v>
      </c>
      <c r="H5" s="27" t="s">
        <v>607</v>
      </c>
      <c r="I5" s="70" t="s">
        <v>836</v>
      </c>
      <c r="J5" s="27" t="s">
        <v>837</v>
      </c>
    </row>
    <row r="6" customFormat="false" ht="27" hidden="false" customHeight="true" outlineLevel="0" collapsed="false">
      <c r="A6" s="59" t="s">
        <v>838</v>
      </c>
      <c r="B6" s="59" t="s">
        <v>839</v>
      </c>
      <c r="C6" s="59" t="s">
        <v>840</v>
      </c>
      <c r="D6" s="59" t="s">
        <v>96</v>
      </c>
      <c r="E6" s="59" t="s">
        <v>835</v>
      </c>
      <c r="F6" s="59" t="s">
        <v>841</v>
      </c>
      <c r="G6" s="43" t="n">
        <v>8</v>
      </c>
      <c r="H6" s="59" t="s">
        <v>833</v>
      </c>
      <c r="I6" s="70" t="s">
        <v>836</v>
      </c>
      <c r="J6" s="59" t="s">
        <v>842</v>
      </c>
    </row>
    <row r="7" customFormat="false" ht="27" hidden="false" customHeight="true" outlineLevel="0" collapsed="false">
      <c r="A7" s="27" t="s">
        <v>843</v>
      </c>
      <c r="B7" s="27" t="s">
        <v>844</v>
      </c>
      <c r="C7" s="27" t="s">
        <v>840</v>
      </c>
      <c r="D7" s="27" t="s">
        <v>96</v>
      </c>
      <c r="E7" s="27" t="s">
        <v>835</v>
      </c>
      <c r="F7" s="27" t="s">
        <v>841</v>
      </c>
      <c r="G7" s="43" t="n">
        <v>3</v>
      </c>
      <c r="H7" s="27" t="s">
        <v>838</v>
      </c>
      <c r="I7" s="70" t="s">
        <v>836</v>
      </c>
      <c r="J7" s="27" t="s">
        <v>845</v>
      </c>
    </row>
    <row r="8" customFormat="false" ht="27" hidden="false" customHeight="true" outlineLevel="0" collapsed="false">
      <c r="A8" s="59" t="s">
        <v>846</v>
      </c>
      <c r="B8" s="59" t="s">
        <v>847</v>
      </c>
      <c r="C8" s="59" t="s">
        <v>848</v>
      </c>
      <c r="D8" s="59" t="s">
        <v>96</v>
      </c>
      <c r="E8" s="59" t="s">
        <v>835</v>
      </c>
      <c r="F8" s="59" t="s">
        <v>848</v>
      </c>
      <c r="G8" s="43" t="n">
        <v>5</v>
      </c>
      <c r="H8" s="59" t="s">
        <v>607</v>
      </c>
      <c r="I8" s="70" t="s">
        <v>849</v>
      </c>
      <c r="J8" s="59" t="s">
        <v>850</v>
      </c>
    </row>
    <row r="9" customFormat="false" ht="27" hidden="false" customHeight="true" outlineLevel="0" collapsed="false">
      <c r="A9" s="27" t="s">
        <v>586</v>
      </c>
      <c r="B9" s="27" t="s">
        <v>851</v>
      </c>
      <c r="C9" s="27" t="s">
        <v>852</v>
      </c>
      <c r="D9" s="27" t="s">
        <v>98</v>
      </c>
      <c r="E9" s="27" t="s">
        <v>835</v>
      </c>
      <c r="F9" s="27" t="s">
        <v>841</v>
      </c>
      <c r="G9" s="43" t="n">
        <v>8</v>
      </c>
      <c r="H9" s="27" t="s">
        <v>607</v>
      </c>
      <c r="I9" s="70" t="s">
        <v>853</v>
      </c>
      <c r="J9" s="27" t="s">
        <v>854</v>
      </c>
    </row>
    <row r="10" customFormat="false" ht="27" hidden="false" customHeight="true" outlineLevel="0" collapsed="false">
      <c r="A10" s="59" t="s">
        <v>605</v>
      </c>
      <c r="B10" s="59" t="s">
        <v>855</v>
      </c>
      <c r="C10" s="59" t="s">
        <v>856</v>
      </c>
      <c r="D10" s="59" t="s">
        <v>98</v>
      </c>
      <c r="E10" s="59" t="s">
        <v>835</v>
      </c>
      <c r="F10" s="59" t="s">
        <v>841</v>
      </c>
      <c r="G10" s="43" t="n">
        <v>10</v>
      </c>
      <c r="H10" s="59" t="s">
        <v>586</v>
      </c>
      <c r="I10" s="70" t="s">
        <v>853</v>
      </c>
      <c r="J10" s="59" t="s">
        <v>857</v>
      </c>
    </row>
    <row r="11" customFormat="false" ht="27" hidden="false" customHeight="true" outlineLevel="0" collapsed="false">
      <c r="A11" s="27" t="s">
        <v>725</v>
      </c>
      <c r="B11" s="27" t="s">
        <v>858</v>
      </c>
      <c r="C11" s="27" t="s">
        <v>23</v>
      </c>
      <c r="D11" s="27" t="s">
        <v>98</v>
      </c>
      <c r="E11" s="27" t="s">
        <v>835</v>
      </c>
      <c r="F11" s="27" t="s">
        <v>502</v>
      </c>
      <c r="G11" s="43" t="n">
        <v>12</v>
      </c>
      <c r="H11" s="27" t="s">
        <v>605</v>
      </c>
      <c r="I11" s="70" t="s">
        <v>836</v>
      </c>
      <c r="J11" s="27" t="s">
        <v>859</v>
      </c>
    </row>
    <row r="12" customFormat="false" ht="27" hidden="false" customHeight="true" outlineLevel="0" collapsed="false">
      <c r="A12" s="59" t="s">
        <v>734</v>
      </c>
      <c r="B12" s="59" t="s">
        <v>860</v>
      </c>
      <c r="C12" s="59" t="s">
        <v>23</v>
      </c>
      <c r="D12" s="59" t="s">
        <v>98</v>
      </c>
      <c r="E12" s="59" t="s">
        <v>835</v>
      </c>
      <c r="F12" s="59" t="s">
        <v>502</v>
      </c>
      <c r="G12" s="43" t="n">
        <v>6</v>
      </c>
      <c r="H12" s="59" t="s">
        <v>725</v>
      </c>
      <c r="I12" s="70" t="s">
        <v>853</v>
      </c>
      <c r="J12" s="59" t="s">
        <v>861</v>
      </c>
    </row>
    <row r="13" customFormat="false" ht="27" hidden="false" customHeight="true" outlineLevel="0" collapsed="false">
      <c r="A13" s="27" t="s">
        <v>743</v>
      </c>
      <c r="B13" s="27" t="s">
        <v>862</v>
      </c>
      <c r="C13" s="27" t="s">
        <v>26</v>
      </c>
      <c r="D13" s="27" t="s">
        <v>98</v>
      </c>
      <c r="E13" s="27" t="s">
        <v>835</v>
      </c>
      <c r="F13" s="27" t="s">
        <v>502</v>
      </c>
      <c r="G13" s="43" t="n">
        <v>8</v>
      </c>
      <c r="H13" s="27" t="s">
        <v>605</v>
      </c>
      <c r="I13" s="70" t="s">
        <v>836</v>
      </c>
      <c r="J13" s="27" t="s">
        <v>863</v>
      </c>
    </row>
    <row r="14" customFormat="false" ht="27" hidden="false" customHeight="true" outlineLevel="0" collapsed="false">
      <c r="A14" s="59" t="s">
        <v>864</v>
      </c>
      <c r="B14" s="59" t="s">
        <v>865</v>
      </c>
      <c r="C14" s="59" t="s">
        <v>546</v>
      </c>
      <c r="D14" s="59" t="s">
        <v>98</v>
      </c>
      <c r="E14" s="59" t="s">
        <v>835</v>
      </c>
      <c r="F14" s="59" t="s">
        <v>502</v>
      </c>
      <c r="G14" s="43" t="n">
        <v>8</v>
      </c>
      <c r="H14" s="59" t="s">
        <v>586</v>
      </c>
      <c r="I14" s="70" t="s">
        <v>836</v>
      </c>
      <c r="J14" s="59" t="s">
        <v>866</v>
      </c>
    </row>
    <row r="15" customFormat="false" ht="27" hidden="false" customHeight="true" outlineLevel="0" collapsed="false">
      <c r="A15" s="27" t="s">
        <v>779</v>
      </c>
      <c r="B15" s="27" t="s">
        <v>867</v>
      </c>
      <c r="C15" s="27" t="s">
        <v>35</v>
      </c>
      <c r="D15" s="27" t="s">
        <v>98</v>
      </c>
      <c r="E15" s="27" t="s">
        <v>835</v>
      </c>
      <c r="F15" s="27" t="s">
        <v>841</v>
      </c>
      <c r="G15" s="43" t="n">
        <v>8</v>
      </c>
      <c r="H15" s="27" t="s">
        <v>864</v>
      </c>
      <c r="I15" s="70" t="s">
        <v>836</v>
      </c>
      <c r="J15" s="27" t="s">
        <v>868</v>
      </c>
    </row>
    <row r="16" customFormat="false" ht="27" hidden="false" customHeight="true" outlineLevel="0" collapsed="false">
      <c r="A16" s="59" t="s">
        <v>869</v>
      </c>
      <c r="B16" s="59" t="s">
        <v>870</v>
      </c>
      <c r="C16" s="59" t="s">
        <v>712</v>
      </c>
      <c r="D16" s="59" t="s">
        <v>98</v>
      </c>
      <c r="E16" s="59" t="s">
        <v>835</v>
      </c>
      <c r="F16" s="59" t="s">
        <v>841</v>
      </c>
      <c r="G16" s="43" t="n">
        <v>6</v>
      </c>
      <c r="H16" s="59" t="s">
        <v>725</v>
      </c>
      <c r="I16" s="70" t="s">
        <v>853</v>
      </c>
      <c r="J16" s="59" t="s">
        <v>871</v>
      </c>
    </row>
    <row r="17" customFormat="false" ht="27" hidden="false" customHeight="true" outlineLevel="0" collapsed="false">
      <c r="A17" s="27" t="s">
        <v>651</v>
      </c>
      <c r="B17" s="27" t="s">
        <v>872</v>
      </c>
      <c r="C17" s="27" t="s">
        <v>873</v>
      </c>
      <c r="D17" s="27" t="s">
        <v>98</v>
      </c>
      <c r="E17" s="27" t="s">
        <v>835</v>
      </c>
      <c r="F17" s="27" t="s">
        <v>841</v>
      </c>
      <c r="G17" s="43" t="n">
        <v>4</v>
      </c>
      <c r="H17" s="27" t="s">
        <v>605</v>
      </c>
      <c r="I17" s="70" t="s">
        <v>853</v>
      </c>
      <c r="J17" s="27" t="s">
        <v>874</v>
      </c>
    </row>
    <row r="18" customFormat="false" ht="27" hidden="false" customHeight="true" outlineLevel="0" collapsed="false">
      <c r="A18" s="59" t="s">
        <v>875</v>
      </c>
      <c r="B18" s="59" t="s">
        <v>876</v>
      </c>
      <c r="C18" s="59" t="s">
        <v>877</v>
      </c>
      <c r="D18" s="59" t="s">
        <v>98</v>
      </c>
      <c r="E18" s="59" t="s">
        <v>835</v>
      </c>
      <c r="F18" s="59" t="s">
        <v>848</v>
      </c>
      <c r="G18" s="43" t="n">
        <v>5</v>
      </c>
      <c r="H18" s="59" t="s">
        <v>586</v>
      </c>
      <c r="I18" s="70" t="s">
        <v>849</v>
      </c>
      <c r="J18" s="59" t="s">
        <v>878</v>
      </c>
    </row>
    <row r="19" customFormat="false" ht="27" hidden="false" customHeight="true" outlineLevel="0" collapsed="false">
      <c r="A19" s="27" t="s">
        <v>595</v>
      </c>
      <c r="B19" s="27" t="s">
        <v>879</v>
      </c>
      <c r="C19" s="27" t="s">
        <v>852</v>
      </c>
      <c r="D19" s="27" t="s">
        <v>98</v>
      </c>
      <c r="E19" s="27" t="s">
        <v>835</v>
      </c>
      <c r="F19" s="27" t="s">
        <v>841</v>
      </c>
      <c r="G19" s="43" t="n">
        <v>3</v>
      </c>
      <c r="H19" s="27" t="s">
        <v>586</v>
      </c>
      <c r="I19" s="70" t="s">
        <v>853</v>
      </c>
      <c r="J19" s="27" t="s">
        <v>880</v>
      </c>
    </row>
    <row r="20" customFormat="false" ht="27" hidden="false" customHeight="true" outlineLevel="0" collapsed="false">
      <c r="A20" s="59" t="s">
        <v>609</v>
      </c>
      <c r="B20" s="59" t="s">
        <v>881</v>
      </c>
      <c r="C20" s="59" t="s">
        <v>856</v>
      </c>
      <c r="D20" s="59" t="s">
        <v>98</v>
      </c>
      <c r="E20" s="59" t="s">
        <v>835</v>
      </c>
      <c r="F20" s="59" t="s">
        <v>841</v>
      </c>
      <c r="G20" s="43" t="n">
        <v>4</v>
      </c>
      <c r="H20" s="59" t="s">
        <v>725</v>
      </c>
      <c r="I20" s="70" t="s">
        <v>853</v>
      </c>
      <c r="J20" s="59" t="s">
        <v>882</v>
      </c>
    </row>
    <row r="21" customFormat="false" ht="27" hidden="false" customHeight="true" outlineLevel="0" collapsed="false">
      <c r="A21" s="27" t="s">
        <v>883</v>
      </c>
      <c r="B21" s="27" t="s">
        <v>884</v>
      </c>
      <c r="C21" s="27" t="s">
        <v>885</v>
      </c>
      <c r="D21" s="27" t="s">
        <v>98</v>
      </c>
      <c r="E21" s="27" t="s">
        <v>835</v>
      </c>
      <c r="F21" s="27" t="s">
        <v>841</v>
      </c>
      <c r="G21" s="43" t="n">
        <v>3</v>
      </c>
      <c r="H21" s="27" t="s">
        <v>605</v>
      </c>
      <c r="I21" s="70" t="s">
        <v>853</v>
      </c>
      <c r="J21" s="27" t="s">
        <v>886</v>
      </c>
    </row>
    <row r="22" customFormat="false" ht="27" hidden="false" customHeight="true" outlineLevel="0" collapsed="false">
      <c r="A22" s="59" t="s">
        <v>887</v>
      </c>
      <c r="B22" s="59" t="s">
        <v>888</v>
      </c>
      <c r="C22" s="59" t="s">
        <v>712</v>
      </c>
      <c r="D22" s="59" t="s">
        <v>98</v>
      </c>
      <c r="E22" s="59" t="s">
        <v>835</v>
      </c>
      <c r="F22" s="59" t="s">
        <v>841</v>
      </c>
      <c r="G22" s="43" t="n">
        <v>3</v>
      </c>
      <c r="H22" s="59" t="s">
        <v>869</v>
      </c>
      <c r="I22" s="70" t="s">
        <v>849</v>
      </c>
      <c r="J22" s="59" t="s">
        <v>889</v>
      </c>
    </row>
    <row r="23" customFormat="false" ht="27" hidden="false" customHeight="true" outlineLevel="0" collapsed="false">
      <c r="A23" s="27" t="s">
        <v>890</v>
      </c>
      <c r="B23" s="27" t="s">
        <v>891</v>
      </c>
      <c r="C23" s="27" t="s">
        <v>892</v>
      </c>
      <c r="D23" s="27" t="s">
        <v>98</v>
      </c>
      <c r="E23" s="27" t="s">
        <v>893</v>
      </c>
      <c r="F23" s="27" t="s">
        <v>100</v>
      </c>
      <c r="G23" s="43" t="n">
        <v>3</v>
      </c>
      <c r="H23" s="27" t="s">
        <v>846</v>
      </c>
      <c r="I23" s="70" t="s">
        <v>849</v>
      </c>
      <c r="J23" s="27" t="s">
        <v>894</v>
      </c>
    </row>
    <row r="24" customFormat="false" ht="27" hidden="false" customHeight="true" outlineLevel="0" collapsed="false">
      <c r="A24" s="59" t="s">
        <v>618</v>
      </c>
      <c r="B24" s="59" t="s">
        <v>614</v>
      </c>
      <c r="C24" s="59" t="s">
        <v>856</v>
      </c>
      <c r="D24" s="59" t="s">
        <v>100</v>
      </c>
      <c r="E24" s="59" t="s">
        <v>835</v>
      </c>
      <c r="F24" s="59" t="s">
        <v>502</v>
      </c>
      <c r="G24" s="43" t="n">
        <v>8</v>
      </c>
      <c r="H24" s="59" t="s">
        <v>605</v>
      </c>
      <c r="I24" s="70" t="s">
        <v>853</v>
      </c>
      <c r="J24" s="59" t="s">
        <v>895</v>
      </c>
    </row>
    <row r="25" customFormat="false" ht="27" hidden="false" customHeight="true" outlineLevel="0" collapsed="false">
      <c r="A25" s="27" t="s">
        <v>807</v>
      </c>
      <c r="B25" s="27" t="s">
        <v>802</v>
      </c>
      <c r="C25" s="27" t="s">
        <v>856</v>
      </c>
      <c r="D25" s="27" t="s">
        <v>100</v>
      </c>
      <c r="E25" s="27" t="s">
        <v>835</v>
      </c>
      <c r="F25" s="27" t="s">
        <v>502</v>
      </c>
      <c r="G25" s="43" t="n">
        <v>5</v>
      </c>
      <c r="H25" s="27" t="s">
        <v>618</v>
      </c>
      <c r="I25" s="70" t="s">
        <v>853</v>
      </c>
      <c r="J25" s="27" t="s">
        <v>896</v>
      </c>
    </row>
    <row r="26" customFormat="false" ht="27" hidden="false" customHeight="true" outlineLevel="0" collapsed="false">
      <c r="A26" s="59" t="s">
        <v>897</v>
      </c>
      <c r="B26" s="59" t="s">
        <v>898</v>
      </c>
      <c r="C26" s="59" t="s">
        <v>856</v>
      </c>
      <c r="D26" s="59" t="s">
        <v>100</v>
      </c>
      <c r="E26" s="59" t="s">
        <v>835</v>
      </c>
      <c r="F26" s="59" t="s">
        <v>502</v>
      </c>
      <c r="G26" s="43" t="n">
        <v>10</v>
      </c>
      <c r="H26" s="59" t="s">
        <v>618</v>
      </c>
      <c r="I26" s="70" t="s">
        <v>849</v>
      </c>
      <c r="J26" s="59" t="s">
        <v>899</v>
      </c>
    </row>
    <row r="27" customFormat="false" ht="27" hidden="false" customHeight="true" outlineLevel="0" collapsed="false">
      <c r="A27" s="27" t="s">
        <v>761</v>
      </c>
      <c r="B27" s="27" t="s">
        <v>756</v>
      </c>
      <c r="C27" s="27" t="s">
        <v>29</v>
      </c>
      <c r="D27" s="27" t="s">
        <v>100</v>
      </c>
      <c r="E27" s="27" t="s">
        <v>835</v>
      </c>
      <c r="F27" s="27" t="s">
        <v>502</v>
      </c>
      <c r="G27" s="43" t="n">
        <v>10</v>
      </c>
      <c r="H27" s="27" t="s">
        <v>864</v>
      </c>
      <c r="I27" s="70" t="s">
        <v>853</v>
      </c>
      <c r="J27" s="27" t="s">
        <v>900</v>
      </c>
    </row>
    <row r="28" customFormat="false" ht="27" hidden="false" customHeight="true" outlineLevel="0" collapsed="false">
      <c r="A28" s="59" t="s">
        <v>770</v>
      </c>
      <c r="B28" s="59" t="s">
        <v>901</v>
      </c>
      <c r="C28" s="59" t="s">
        <v>32</v>
      </c>
      <c r="D28" s="59" t="s">
        <v>100</v>
      </c>
      <c r="E28" s="59" t="s">
        <v>835</v>
      </c>
      <c r="F28" s="59" t="s">
        <v>502</v>
      </c>
      <c r="G28" s="43" t="n">
        <v>6</v>
      </c>
      <c r="H28" s="59" t="s">
        <v>864</v>
      </c>
      <c r="I28" s="70" t="s">
        <v>853</v>
      </c>
      <c r="J28" s="59" t="s">
        <v>902</v>
      </c>
    </row>
    <row r="29" customFormat="false" ht="27" hidden="false" customHeight="true" outlineLevel="0" collapsed="false">
      <c r="A29" s="27" t="s">
        <v>752</v>
      </c>
      <c r="B29" s="27" t="s">
        <v>903</v>
      </c>
      <c r="C29" s="27" t="s">
        <v>26</v>
      </c>
      <c r="D29" s="27" t="s">
        <v>100</v>
      </c>
      <c r="E29" s="27" t="s">
        <v>893</v>
      </c>
      <c r="F29" s="27" t="s">
        <v>502</v>
      </c>
      <c r="G29" s="43" t="n">
        <v>5</v>
      </c>
      <c r="H29" s="27" t="s">
        <v>743</v>
      </c>
      <c r="I29" s="70" t="s">
        <v>853</v>
      </c>
      <c r="J29" s="27" t="s">
        <v>904</v>
      </c>
    </row>
    <row r="30" customFormat="false" ht="27" hidden="false" customHeight="true" outlineLevel="0" collapsed="false">
      <c r="A30" s="59" t="s">
        <v>797</v>
      </c>
      <c r="B30" s="59" t="s">
        <v>905</v>
      </c>
      <c r="C30" s="59" t="s">
        <v>852</v>
      </c>
      <c r="D30" s="59" t="s">
        <v>100</v>
      </c>
      <c r="E30" s="59" t="s">
        <v>835</v>
      </c>
      <c r="F30" s="59" t="s">
        <v>841</v>
      </c>
      <c r="G30" s="43" t="n">
        <v>5</v>
      </c>
      <c r="H30" s="59" t="s">
        <v>743</v>
      </c>
      <c r="I30" s="70" t="s">
        <v>853</v>
      </c>
      <c r="J30" s="59" t="s">
        <v>906</v>
      </c>
    </row>
    <row r="31" customFormat="false" ht="27" hidden="false" customHeight="true" outlineLevel="0" collapsed="false">
      <c r="A31" s="27" t="s">
        <v>662</v>
      </c>
      <c r="B31" s="27" t="s">
        <v>907</v>
      </c>
      <c r="C31" s="27" t="s">
        <v>546</v>
      </c>
      <c r="D31" s="27" t="s">
        <v>100</v>
      </c>
      <c r="E31" s="27" t="s">
        <v>835</v>
      </c>
      <c r="F31" s="27" t="s">
        <v>841</v>
      </c>
      <c r="G31" s="43" t="n">
        <v>8</v>
      </c>
      <c r="H31" s="27" t="s">
        <v>586</v>
      </c>
      <c r="I31" s="70" t="s">
        <v>853</v>
      </c>
      <c r="J31" s="27" t="s">
        <v>908</v>
      </c>
    </row>
    <row r="32" customFormat="false" ht="27" hidden="false" customHeight="true" outlineLevel="0" collapsed="false">
      <c r="A32" s="59" t="s">
        <v>909</v>
      </c>
      <c r="B32" s="59" t="s">
        <v>910</v>
      </c>
      <c r="C32" s="59" t="s">
        <v>35</v>
      </c>
      <c r="D32" s="59" t="s">
        <v>100</v>
      </c>
      <c r="E32" s="59" t="s">
        <v>835</v>
      </c>
      <c r="F32" s="59" t="s">
        <v>848</v>
      </c>
      <c r="G32" s="43" t="n">
        <v>8</v>
      </c>
      <c r="H32" s="59" t="s">
        <v>779</v>
      </c>
      <c r="I32" s="70" t="s">
        <v>853</v>
      </c>
      <c r="J32" s="59" t="s">
        <v>911</v>
      </c>
    </row>
    <row r="33" customFormat="false" ht="27" hidden="false" customHeight="true" outlineLevel="0" collapsed="false">
      <c r="A33" s="27" t="s">
        <v>788</v>
      </c>
      <c r="B33" s="27" t="s">
        <v>912</v>
      </c>
      <c r="C33" s="27" t="s">
        <v>35</v>
      </c>
      <c r="D33" s="27" t="s">
        <v>100</v>
      </c>
      <c r="E33" s="27" t="s">
        <v>835</v>
      </c>
      <c r="F33" s="27" t="s">
        <v>841</v>
      </c>
      <c r="G33" s="43" t="n">
        <v>6</v>
      </c>
      <c r="H33" s="27" t="s">
        <v>779</v>
      </c>
      <c r="I33" s="70" t="s">
        <v>849</v>
      </c>
      <c r="J33" s="27" t="s">
        <v>913</v>
      </c>
    </row>
    <row r="34" customFormat="false" ht="27" hidden="false" customHeight="true" outlineLevel="0" collapsed="false">
      <c r="A34" s="59" t="s">
        <v>914</v>
      </c>
      <c r="B34" s="59" t="s">
        <v>915</v>
      </c>
      <c r="C34" s="59" t="s">
        <v>916</v>
      </c>
      <c r="D34" s="59" t="s">
        <v>100</v>
      </c>
      <c r="E34" s="59" t="s">
        <v>835</v>
      </c>
      <c r="F34" s="59" t="s">
        <v>502</v>
      </c>
      <c r="G34" s="43" t="n">
        <v>6</v>
      </c>
      <c r="H34" s="59" t="s">
        <v>662</v>
      </c>
      <c r="I34" s="70" t="s">
        <v>836</v>
      </c>
      <c r="J34" s="59" t="s">
        <v>917</v>
      </c>
    </row>
    <row r="35" customFormat="false" ht="27" hidden="false" customHeight="true" outlineLevel="0" collapsed="false">
      <c r="A35" s="27" t="s">
        <v>918</v>
      </c>
      <c r="B35" s="27" t="s">
        <v>919</v>
      </c>
      <c r="C35" s="27" t="s">
        <v>916</v>
      </c>
      <c r="D35" s="27" t="s">
        <v>100</v>
      </c>
      <c r="E35" s="27" t="s">
        <v>835</v>
      </c>
      <c r="F35" s="27" t="s">
        <v>502</v>
      </c>
      <c r="G35" s="43" t="n">
        <v>6</v>
      </c>
      <c r="H35" s="27" t="s">
        <v>914</v>
      </c>
      <c r="I35" s="70" t="s">
        <v>836</v>
      </c>
      <c r="J35" s="27" t="s">
        <v>920</v>
      </c>
    </row>
    <row r="36" customFormat="false" ht="27" hidden="false" customHeight="true" outlineLevel="0" collapsed="false">
      <c r="A36" s="59" t="s">
        <v>921</v>
      </c>
      <c r="B36" s="59" t="s">
        <v>922</v>
      </c>
      <c r="C36" s="59" t="s">
        <v>916</v>
      </c>
      <c r="D36" s="59" t="s">
        <v>100</v>
      </c>
      <c r="E36" s="59" t="s">
        <v>835</v>
      </c>
      <c r="F36" s="59" t="s">
        <v>502</v>
      </c>
      <c r="G36" s="43" t="n">
        <v>3</v>
      </c>
      <c r="H36" s="59" t="s">
        <v>918</v>
      </c>
      <c r="I36" s="70" t="s">
        <v>836</v>
      </c>
      <c r="J36" s="59" t="s">
        <v>923</v>
      </c>
    </row>
    <row r="37" customFormat="false" ht="27" hidden="false" customHeight="true" outlineLevel="0" collapsed="false">
      <c r="A37" s="27" t="s">
        <v>924</v>
      </c>
      <c r="B37" s="27" t="s">
        <v>925</v>
      </c>
      <c r="C37" s="27" t="s">
        <v>926</v>
      </c>
      <c r="D37" s="27" t="s">
        <v>100</v>
      </c>
      <c r="E37" s="27" t="s">
        <v>893</v>
      </c>
      <c r="F37" s="27" t="s">
        <v>502</v>
      </c>
      <c r="G37" s="43" t="n">
        <v>6</v>
      </c>
      <c r="H37" s="27" t="s">
        <v>586</v>
      </c>
      <c r="I37" s="70" t="s">
        <v>836</v>
      </c>
      <c r="J37" s="27" t="s">
        <v>927</v>
      </c>
    </row>
    <row r="38" customFormat="false" ht="27" hidden="false" customHeight="true" outlineLevel="0" collapsed="false">
      <c r="A38" s="59" t="s">
        <v>928</v>
      </c>
      <c r="B38" s="59" t="s">
        <v>929</v>
      </c>
      <c r="C38" s="59" t="s">
        <v>546</v>
      </c>
      <c r="D38" s="59" t="s">
        <v>100</v>
      </c>
      <c r="E38" s="59" t="s">
        <v>893</v>
      </c>
      <c r="F38" s="59" t="s">
        <v>502</v>
      </c>
      <c r="G38" s="43" t="n">
        <v>5</v>
      </c>
      <c r="H38" s="59" t="s">
        <v>924</v>
      </c>
      <c r="I38" s="70" t="s">
        <v>836</v>
      </c>
      <c r="J38" s="59" t="s">
        <v>930</v>
      </c>
    </row>
    <row r="39" customFormat="false" ht="27" hidden="false" customHeight="true" outlineLevel="0" collapsed="false">
      <c r="A39" s="27" t="s">
        <v>654</v>
      </c>
      <c r="B39" s="27" t="s">
        <v>931</v>
      </c>
      <c r="C39" s="27" t="s">
        <v>873</v>
      </c>
      <c r="D39" s="27" t="s">
        <v>100</v>
      </c>
      <c r="E39" s="27" t="s">
        <v>835</v>
      </c>
      <c r="F39" s="27" t="s">
        <v>841</v>
      </c>
      <c r="G39" s="43" t="n">
        <v>5</v>
      </c>
      <c r="H39" s="27" t="s">
        <v>618</v>
      </c>
      <c r="I39" s="70" t="s">
        <v>853</v>
      </c>
      <c r="J39" s="27" t="s">
        <v>932</v>
      </c>
    </row>
    <row r="40" customFormat="false" ht="27" hidden="false" customHeight="true" outlineLevel="0" collapsed="false">
      <c r="A40" s="59" t="s">
        <v>658</v>
      </c>
      <c r="B40" s="59" t="s">
        <v>655</v>
      </c>
      <c r="C40" s="59" t="s">
        <v>546</v>
      </c>
      <c r="D40" s="59" t="s">
        <v>100</v>
      </c>
      <c r="E40" s="59" t="s">
        <v>835</v>
      </c>
      <c r="F40" s="59" t="s">
        <v>502</v>
      </c>
      <c r="G40" s="43" t="n">
        <v>4</v>
      </c>
      <c r="H40" s="59" t="s">
        <v>586</v>
      </c>
      <c r="I40" s="70" t="s">
        <v>849</v>
      </c>
      <c r="J40" s="59" t="s">
        <v>933</v>
      </c>
    </row>
    <row r="41" customFormat="false" ht="27" hidden="false" customHeight="true" outlineLevel="0" collapsed="false">
      <c r="A41" s="27" t="s">
        <v>666</v>
      </c>
      <c r="B41" s="27" t="s">
        <v>934</v>
      </c>
      <c r="C41" s="27" t="s">
        <v>546</v>
      </c>
      <c r="D41" s="27" t="s">
        <v>100</v>
      </c>
      <c r="E41" s="27" t="s">
        <v>835</v>
      </c>
      <c r="F41" s="27" t="s">
        <v>841</v>
      </c>
      <c r="G41" s="43" t="n">
        <v>6</v>
      </c>
      <c r="H41" s="27" t="s">
        <v>662</v>
      </c>
      <c r="I41" s="70" t="s">
        <v>853</v>
      </c>
      <c r="J41" s="27" t="s">
        <v>935</v>
      </c>
    </row>
    <row r="42" customFormat="false" ht="27" hidden="false" customHeight="true" outlineLevel="0" collapsed="false">
      <c r="A42" s="59" t="s">
        <v>936</v>
      </c>
      <c r="B42" s="59" t="s">
        <v>937</v>
      </c>
      <c r="C42" s="59" t="s">
        <v>546</v>
      </c>
      <c r="D42" s="59" t="s">
        <v>100</v>
      </c>
      <c r="E42" s="59" t="s">
        <v>893</v>
      </c>
      <c r="F42" s="59" t="s">
        <v>502</v>
      </c>
      <c r="G42" s="43" t="n">
        <v>2</v>
      </c>
      <c r="H42" s="59" t="s">
        <v>928</v>
      </c>
      <c r="I42" s="70" t="s">
        <v>849</v>
      </c>
      <c r="J42" s="59" t="s">
        <v>938</v>
      </c>
    </row>
    <row r="43" customFormat="false" ht="27" hidden="false" customHeight="true" outlineLevel="0" collapsed="false">
      <c r="A43" s="27" t="s">
        <v>939</v>
      </c>
      <c r="B43" s="27" t="s">
        <v>940</v>
      </c>
      <c r="C43" s="27" t="s">
        <v>941</v>
      </c>
      <c r="D43" s="27" t="s">
        <v>100</v>
      </c>
      <c r="E43" s="27" t="s">
        <v>835</v>
      </c>
      <c r="F43" s="27" t="s">
        <v>941</v>
      </c>
      <c r="G43" s="43" t="n">
        <v>10</v>
      </c>
      <c r="H43" s="27" t="s">
        <v>605</v>
      </c>
      <c r="I43" s="70" t="s">
        <v>849</v>
      </c>
      <c r="J43" s="27" t="s">
        <v>942</v>
      </c>
    </row>
    <row r="44" customFormat="false" ht="27" hidden="false" customHeight="true" outlineLevel="0" collapsed="false">
      <c r="A44" s="59" t="s">
        <v>943</v>
      </c>
      <c r="B44" s="59" t="s">
        <v>944</v>
      </c>
      <c r="C44" s="59" t="s">
        <v>840</v>
      </c>
      <c r="D44" s="59" t="s">
        <v>100</v>
      </c>
      <c r="E44" s="59" t="s">
        <v>835</v>
      </c>
      <c r="F44" s="59" t="s">
        <v>841</v>
      </c>
      <c r="G44" s="43" t="n">
        <v>5</v>
      </c>
      <c r="H44" s="59" t="s">
        <v>605</v>
      </c>
      <c r="I44" s="70" t="s">
        <v>853</v>
      </c>
      <c r="J44" s="59" t="s">
        <v>945</v>
      </c>
    </row>
    <row r="45" customFormat="false" ht="27" hidden="false" customHeight="true" outlineLevel="0" collapsed="false">
      <c r="A45" s="27" t="s">
        <v>946</v>
      </c>
      <c r="B45" s="27" t="s">
        <v>947</v>
      </c>
      <c r="C45" s="27" t="s">
        <v>877</v>
      </c>
      <c r="D45" s="27" t="s">
        <v>100</v>
      </c>
      <c r="E45" s="27" t="s">
        <v>835</v>
      </c>
      <c r="F45" s="27" t="s">
        <v>841</v>
      </c>
      <c r="G45" s="43" t="n">
        <v>4</v>
      </c>
      <c r="H45" s="27" t="s">
        <v>875</v>
      </c>
      <c r="I45" s="70" t="s">
        <v>853</v>
      </c>
      <c r="J45" s="27" t="s">
        <v>948</v>
      </c>
    </row>
    <row r="46" customFormat="false" ht="27" hidden="false" customHeight="true" outlineLevel="0" collapsed="false">
      <c r="A46" s="59" t="s">
        <v>949</v>
      </c>
      <c r="B46" s="59" t="s">
        <v>950</v>
      </c>
      <c r="C46" s="59" t="s">
        <v>712</v>
      </c>
      <c r="D46" s="59" t="s">
        <v>100</v>
      </c>
      <c r="E46" s="59" t="s">
        <v>835</v>
      </c>
      <c r="F46" s="59" t="s">
        <v>502</v>
      </c>
      <c r="G46" s="43" t="n">
        <v>5</v>
      </c>
      <c r="H46" s="59" t="s">
        <v>869</v>
      </c>
      <c r="I46" s="70" t="s">
        <v>849</v>
      </c>
      <c r="J46" s="59" t="s">
        <v>951</v>
      </c>
    </row>
    <row r="47" customFormat="false" ht="27" hidden="false" customHeight="true" outlineLevel="0" collapsed="false">
      <c r="A47" s="27" t="s">
        <v>952</v>
      </c>
      <c r="B47" s="27" t="s">
        <v>953</v>
      </c>
      <c r="C47" s="27" t="s">
        <v>926</v>
      </c>
      <c r="D47" s="27" t="s">
        <v>100</v>
      </c>
      <c r="E47" s="27" t="s">
        <v>835</v>
      </c>
      <c r="F47" s="27" t="s">
        <v>502</v>
      </c>
      <c r="G47" s="43" t="n">
        <v>4</v>
      </c>
      <c r="H47" s="27" t="s">
        <v>586</v>
      </c>
      <c r="I47" s="70" t="s">
        <v>836</v>
      </c>
      <c r="J47" s="27" t="s">
        <v>954</v>
      </c>
    </row>
    <row r="48" customFormat="false" ht="27" hidden="false" customHeight="true" outlineLevel="0" collapsed="false">
      <c r="A48" s="59" t="s">
        <v>955</v>
      </c>
      <c r="B48" s="59" t="s">
        <v>956</v>
      </c>
      <c r="C48" s="59" t="s">
        <v>616</v>
      </c>
      <c r="D48" s="59" t="s">
        <v>100</v>
      </c>
      <c r="E48" s="59" t="s">
        <v>835</v>
      </c>
      <c r="F48" s="59" t="s">
        <v>100</v>
      </c>
      <c r="G48" s="43" t="n">
        <v>3</v>
      </c>
      <c r="H48" s="59" t="s">
        <v>918</v>
      </c>
      <c r="I48" s="70" t="s">
        <v>849</v>
      </c>
      <c r="J48" s="59" t="s">
        <v>957</v>
      </c>
    </row>
    <row r="49" customFormat="false" ht="27" hidden="false" customHeight="true" outlineLevel="0" collapsed="false">
      <c r="A49" s="27" t="s">
        <v>958</v>
      </c>
      <c r="B49" s="27" t="s">
        <v>959</v>
      </c>
      <c r="C49" s="27" t="s">
        <v>960</v>
      </c>
      <c r="D49" s="27" t="s">
        <v>100</v>
      </c>
      <c r="E49" s="27" t="s">
        <v>893</v>
      </c>
      <c r="F49" s="27" t="s">
        <v>841</v>
      </c>
      <c r="G49" s="43" t="n">
        <v>2</v>
      </c>
      <c r="H49" s="27" t="s">
        <v>946</v>
      </c>
      <c r="I49" s="70" t="s">
        <v>849</v>
      </c>
      <c r="J49" s="27" t="s">
        <v>961</v>
      </c>
    </row>
    <row r="50" customFormat="false" ht="27" hidden="false" customHeight="true" outlineLevel="0" collapsed="false">
      <c r="A50" s="59" t="s">
        <v>962</v>
      </c>
      <c r="B50" s="59" t="s">
        <v>963</v>
      </c>
      <c r="C50" s="59" t="s">
        <v>964</v>
      </c>
      <c r="D50" s="59" t="s">
        <v>100</v>
      </c>
      <c r="E50" s="59" t="s">
        <v>835</v>
      </c>
      <c r="F50" s="59" t="s">
        <v>100</v>
      </c>
      <c r="G50" s="43" t="n">
        <v>4</v>
      </c>
      <c r="H50" s="59" t="s">
        <v>883</v>
      </c>
      <c r="I50" s="70" t="s">
        <v>849</v>
      </c>
      <c r="J50" s="59" t="s">
        <v>965</v>
      </c>
    </row>
    <row r="51" customFormat="false" ht="27" hidden="false" customHeight="true" outlineLevel="0" collapsed="false">
      <c r="A51" s="27" t="s">
        <v>966</v>
      </c>
      <c r="B51" s="27" t="s">
        <v>967</v>
      </c>
      <c r="C51" s="27" t="s">
        <v>968</v>
      </c>
      <c r="D51" s="27" t="s">
        <v>102</v>
      </c>
      <c r="E51" s="27" t="s">
        <v>835</v>
      </c>
      <c r="F51" s="27" t="s">
        <v>841</v>
      </c>
      <c r="G51" s="43" t="n">
        <v>8</v>
      </c>
      <c r="H51" s="27" t="s">
        <v>897</v>
      </c>
      <c r="I51" s="70" t="s">
        <v>836</v>
      </c>
      <c r="J51" s="27" t="s">
        <v>969</v>
      </c>
    </row>
    <row r="52" customFormat="false" ht="27" hidden="false" customHeight="true" outlineLevel="0" collapsed="false">
      <c r="A52" s="59" t="s">
        <v>970</v>
      </c>
      <c r="B52" s="59" t="s">
        <v>971</v>
      </c>
      <c r="C52" s="59" t="s">
        <v>968</v>
      </c>
      <c r="D52" s="59" t="s">
        <v>102</v>
      </c>
      <c r="E52" s="59" t="s">
        <v>835</v>
      </c>
      <c r="F52" s="59" t="s">
        <v>502</v>
      </c>
      <c r="G52" s="43" t="n">
        <v>5</v>
      </c>
      <c r="H52" s="59" t="s">
        <v>788</v>
      </c>
      <c r="I52" s="70" t="s">
        <v>836</v>
      </c>
      <c r="J52" s="59" t="s">
        <v>972</v>
      </c>
    </row>
    <row r="53" customFormat="false" ht="27" hidden="false" customHeight="true" outlineLevel="0" collapsed="false">
      <c r="A53" s="27" t="s">
        <v>642</v>
      </c>
      <c r="B53" s="27" t="s">
        <v>973</v>
      </c>
      <c r="C53" s="27" t="s">
        <v>968</v>
      </c>
      <c r="D53" s="27" t="s">
        <v>102</v>
      </c>
      <c r="E53" s="27" t="s">
        <v>835</v>
      </c>
      <c r="F53" s="27" t="s">
        <v>502</v>
      </c>
      <c r="G53" s="43" t="n">
        <v>6</v>
      </c>
      <c r="H53" s="27" t="s">
        <v>970</v>
      </c>
      <c r="I53" s="70" t="s">
        <v>836</v>
      </c>
      <c r="J53" s="27" t="s">
        <v>974</v>
      </c>
    </row>
    <row r="54" customFormat="false" ht="27" hidden="false" customHeight="true" outlineLevel="0" collapsed="false">
      <c r="A54" s="59" t="s">
        <v>975</v>
      </c>
      <c r="B54" s="59" t="s">
        <v>976</v>
      </c>
      <c r="C54" s="59" t="s">
        <v>856</v>
      </c>
      <c r="D54" s="59" t="s">
        <v>102</v>
      </c>
      <c r="E54" s="59" t="s">
        <v>893</v>
      </c>
      <c r="F54" s="59" t="s">
        <v>502</v>
      </c>
      <c r="G54" s="43" t="n">
        <v>6</v>
      </c>
      <c r="H54" s="59" t="s">
        <v>897</v>
      </c>
      <c r="I54" s="70" t="s">
        <v>849</v>
      </c>
      <c r="J54" s="59" t="s">
        <v>977</v>
      </c>
    </row>
    <row r="55" customFormat="false" ht="27" hidden="false" customHeight="true" outlineLevel="0" collapsed="false">
      <c r="A55" s="27" t="s">
        <v>978</v>
      </c>
      <c r="B55" s="27" t="s">
        <v>979</v>
      </c>
      <c r="C55" s="27" t="s">
        <v>546</v>
      </c>
      <c r="D55" s="27" t="s">
        <v>102</v>
      </c>
      <c r="E55" s="27" t="s">
        <v>980</v>
      </c>
      <c r="F55" s="27" t="s">
        <v>502</v>
      </c>
      <c r="G55" s="43" t="n">
        <v>4</v>
      </c>
      <c r="H55" s="27" t="s">
        <v>921</v>
      </c>
      <c r="I55" s="70" t="s">
        <v>849</v>
      </c>
      <c r="J55" s="27" t="s">
        <v>981</v>
      </c>
    </row>
    <row r="56" customFormat="false" ht="27" hidden="false" customHeight="true" outlineLevel="0" collapsed="false">
      <c r="A56" s="59" t="s">
        <v>982</v>
      </c>
      <c r="B56" s="59" t="s">
        <v>983</v>
      </c>
      <c r="C56" s="59" t="s">
        <v>26</v>
      </c>
      <c r="D56" s="59" t="s">
        <v>102</v>
      </c>
      <c r="E56" s="59" t="s">
        <v>980</v>
      </c>
      <c r="F56" s="59" t="s">
        <v>502</v>
      </c>
      <c r="G56" s="43" t="n">
        <v>4</v>
      </c>
      <c r="H56" s="59" t="s">
        <v>743</v>
      </c>
      <c r="I56" s="70" t="s">
        <v>849</v>
      </c>
      <c r="J56" s="59" t="s">
        <v>984</v>
      </c>
    </row>
    <row r="57" customFormat="false" ht="27" hidden="false" customHeight="true" outlineLevel="0" collapsed="false">
      <c r="A57" s="27" t="s">
        <v>985</v>
      </c>
      <c r="B57" s="27" t="s">
        <v>986</v>
      </c>
      <c r="C57" s="27" t="s">
        <v>926</v>
      </c>
      <c r="D57" s="27" t="s">
        <v>102</v>
      </c>
      <c r="E57" s="27" t="s">
        <v>835</v>
      </c>
      <c r="F57" s="27" t="s">
        <v>841</v>
      </c>
      <c r="G57" s="43" t="n">
        <v>8</v>
      </c>
      <c r="H57" s="27" t="s">
        <v>966</v>
      </c>
      <c r="I57" s="70" t="s">
        <v>836</v>
      </c>
      <c r="J57" s="27" t="s">
        <v>987</v>
      </c>
    </row>
    <row r="58" customFormat="false" ht="27" hidden="false" customHeight="true" outlineLevel="0" collapsed="false">
      <c r="A58" s="59" t="s">
        <v>988</v>
      </c>
      <c r="B58" s="59" t="s">
        <v>989</v>
      </c>
      <c r="C58" s="59" t="s">
        <v>712</v>
      </c>
      <c r="D58" s="59" t="s">
        <v>102</v>
      </c>
      <c r="E58" s="59" t="s">
        <v>893</v>
      </c>
      <c r="F58" s="59" t="s">
        <v>841</v>
      </c>
      <c r="G58" s="43" t="n">
        <v>4</v>
      </c>
      <c r="H58" s="59" t="s">
        <v>869</v>
      </c>
      <c r="I58" s="70" t="s">
        <v>849</v>
      </c>
      <c r="J58" s="59" t="s">
        <v>990</v>
      </c>
    </row>
    <row r="59" customFormat="false" ht="27" hidden="false" customHeight="true" outlineLevel="0" collapsed="false">
      <c r="A59" s="27" t="s">
        <v>991</v>
      </c>
      <c r="B59" s="27" t="s">
        <v>992</v>
      </c>
      <c r="C59" s="27" t="s">
        <v>852</v>
      </c>
      <c r="D59" s="27" t="s">
        <v>102</v>
      </c>
      <c r="E59" s="27" t="s">
        <v>835</v>
      </c>
      <c r="F59" s="27" t="s">
        <v>502</v>
      </c>
      <c r="G59" s="43" t="n">
        <v>5</v>
      </c>
      <c r="H59" s="27" t="s">
        <v>883</v>
      </c>
      <c r="I59" s="70" t="s">
        <v>853</v>
      </c>
      <c r="J59" s="27" t="s">
        <v>993</v>
      </c>
    </row>
    <row r="60" customFormat="false" ht="27" hidden="false" customHeight="true" outlineLevel="0" collapsed="false">
      <c r="A60" s="59" t="s">
        <v>994</v>
      </c>
      <c r="B60" s="59" t="s">
        <v>995</v>
      </c>
      <c r="C60" s="59" t="s">
        <v>996</v>
      </c>
      <c r="D60" s="59" t="s">
        <v>102</v>
      </c>
      <c r="E60" s="59" t="s">
        <v>835</v>
      </c>
      <c r="F60" s="59" t="s">
        <v>996</v>
      </c>
      <c r="G60" s="43" t="n">
        <v>4</v>
      </c>
      <c r="H60" s="59" t="s">
        <v>985</v>
      </c>
      <c r="I60" s="70" t="s">
        <v>836</v>
      </c>
      <c r="J60" s="59" t="s">
        <v>997</v>
      </c>
    </row>
    <row r="61" customFormat="false" ht="27" hidden="false" customHeight="true" outlineLevel="0" collapsed="false">
      <c r="A61" s="27" t="s">
        <v>998</v>
      </c>
      <c r="B61" s="27" t="s">
        <v>999</v>
      </c>
      <c r="C61" s="27" t="s">
        <v>926</v>
      </c>
      <c r="D61" s="27" t="s">
        <v>104</v>
      </c>
      <c r="E61" s="27" t="s">
        <v>835</v>
      </c>
      <c r="F61" s="27" t="s">
        <v>502</v>
      </c>
      <c r="G61" s="43" t="n">
        <v>3</v>
      </c>
      <c r="H61" s="27" t="s">
        <v>985</v>
      </c>
      <c r="I61" s="70" t="s">
        <v>853</v>
      </c>
      <c r="J61" s="27" t="s">
        <v>1000</v>
      </c>
    </row>
    <row r="62" customFormat="false" ht="27" hidden="false" customHeight="true" outlineLevel="0" collapsed="false">
      <c r="A62" s="59" t="s">
        <v>1001</v>
      </c>
      <c r="B62" s="59" t="s">
        <v>1002</v>
      </c>
      <c r="C62" s="59" t="s">
        <v>712</v>
      </c>
      <c r="D62" s="59" t="s">
        <v>104</v>
      </c>
      <c r="E62" s="59" t="s">
        <v>835</v>
      </c>
      <c r="F62" s="59" t="s">
        <v>841</v>
      </c>
      <c r="G62" s="43" t="n">
        <v>5</v>
      </c>
      <c r="H62" s="59" t="s">
        <v>869</v>
      </c>
      <c r="I62" s="70" t="s">
        <v>849</v>
      </c>
      <c r="J62" s="59" t="s">
        <v>1003</v>
      </c>
    </row>
    <row r="63" customFormat="false" ht="27" hidden="false" customHeight="true" outlineLevel="0" collapsed="false">
      <c r="A63" s="27" t="s">
        <v>1004</v>
      </c>
      <c r="B63" s="27" t="s">
        <v>1005</v>
      </c>
      <c r="C63" s="27" t="s">
        <v>1006</v>
      </c>
      <c r="D63" s="27" t="s">
        <v>104</v>
      </c>
      <c r="E63" s="27" t="s">
        <v>835</v>
      </c>
      <c r="F63" s="27" t="s">
        <v>502</v>
      </c>
      <c r="G63" s="43" t="n">
        <v>6</v>
      </c>
      <c r="H63" s="27" t="s">
        <v>985</v>
      </c>
      <c r="I63" s="70" t="s">
        <v>853</v>
      </c>
      <c r="J63" s="27" t="s">
        <v>1007</v>
      </c>
    </row>
    <row r="64" customFormat="false" ht="27" hidden="false" customHeight="true" outlineLevel="0" collapsed="false">
      <c r="A64" s="59" t="s">
        <v>1008</v>
      </c>
      <c r="B64" s="59" t="s">
        <v>1009</v>
      </c>
      <c r="C64" s="59" t="s">
        <v>960</v>
      </c>
      <c r="D64" s="59" t="s">
        <v>104</v>
      </c>
      <c r="E64" s="59" t="s">
        <v>835</v>
      </c>
      <c r="F64" s="59" t="s">
        <v>502</v>
      </c>
      <c r="G64" s="43" t="n">
        <v>3</v>
      </c>
      <c r="H64" s="59" t="s">
        <v>998</v>
      </c>
      <c r="I64" s="70" t="s">
        <v>849</v>
      </c>
      <c r="J64" s="59" t="s">
        <v>1010</v>
      </c>
    </row>
    <row r="65" customFormat="false" ht="27" hidden="false" customHeight="true" outlineLevel="0" collapsed="false">
      <c r="A65" s="27" t="s">
        <v>1011</v>
      </c>
      <c r="B65" s="27" t="s">
        <v>1012</v>
      </c>
      <c r="C65" s="27" t="s">
        <v>840</v>
      </c>
      <c r="D65" s="27" t="s">
        <v>104</v>
      </c>
      <c r="E65" s="27" t="s">
        <v>835</v>
      </c>
      <c r="F65" s="27" t="s">
        <v>841</v>
      </c>
      <c r="G65" s="43" t="n">
        <v>4</v>
      </c>
      <c r="H65" s="27" t="s">
        <v>985</v>
      </c>
      <c r="I65" s="70" t="s">
        <v>849</v>
      </c>
      <c r="J65" s="27" t="s">
        <v>1013</v>
      </c>
    </row>
    <row r="66" customFormat="false" ht="27" hidden="false" customHeight="true" outlineLevel="0" collapsed="false">
      <c r="A66" s="59" t="s">
        <v>1014</v>
      </c>
      <c r="B66" s="59" t="s">
        <v>1015</v>
      </c>
      <c r="C66" s="59" t="s">
        <v>892</v>
      </c>
      <c r="D66" s="59" t="s">
        <v>104</v>
      </c>
      <c r="E66" s="59" t="s">
        <v>893</v>
      </c>
      <c r="F66" s="59" t="s">
        <v>841</v>
      </c>
      <c r="G66" s="43" t="n">
        <v>4</v>
      </c>
      <c r="H66" s="59" t="s">
        <v>943</v>
      </c>
      <c r="I66" s="70" t="s">
        <v>849</v>
      </c>
      <c r="J66" s="59" t="s">
        <v>1016</v>
      </c>
    </row>
    <row r="67" customFormat="false" ht="27" hidden="false" customHeight="true" outlineLevel="0" collapsed="false">
      <c r="A67" s="27" t="s">
        <v>1017</v>
      </c>
      <c r="B67" s="27" t="s">
        <v>1018</v>
      </c>
      <c r="C67" s="27" t="s">
        <v>892</v>
      </c>
      <c r="D67" s="27" t="s">
        <v>106</v>
      </c>
      <c r="E67" s="27" t="s">
        <v>835</v>
      </c>
      <c r="F67" s="27" t="s">
        <v>100</v>
      </c>
      <c r="G67" s="43" t="n">
        <v>5</v>
      </c>
      <c r="H67" s="27" t="s">
        <v>998</v>
      </c>
      <c r="I67" s="70" t="s">
        <v>849</v>
      </c>
      <c r="J67" s="27" t="s">
        <v>1019</v>
      </c>
    </row>
    <row r="68" customFormat="false" ht="27" hidden="false" customHeight="true" outlineLevel="0" collapsed="false">
      <c r="A68" s="59" t="s">
        <v>1020</v>
      </c>
      <c r="B68" s="59" t="s">
        <v>1021</v>
      </c>
      <c r="C68" s="59" t="s">
        <v>892</v>
      </c>
      <c r="D68" s="59" t="s">
        <v>106</v>
      </c>
      <c r="E68" s="59" t="s">
        <v>835</v>
      </c>
      <c r="F68" s="59" t="s">
        <v>100</v>
      </c>
      <c r="G68" s="43" t="n">
        <v>1</v>
      </c>
      <c r="H68" s="59" t="s">
        <v>1017</v>
      </c>
      <c r="I68" s="70" t="s">
        <v>849</v>
      </c>
      <c r="J68" s="59" t="s">
        <v>1022</v>
      </c>
    </row>
    <row r="69" customFormat="false" ht="27" hidden="false" customHeight="true" outlineLevel="0" collapsed="false">
      <c r="A69" s="27" t="s">
        <v>1023</v>
      </c>
      <c r="B69" s="27" t="s">
        <v>1024</v>
      </c>
      <c r="C69" s="27" t="s">
        <v>892</v>
      </c>
      <c r="D69" s="27" t="s">
        <v>106</v>
      </c>
      <c r="E69" s="27" t="s">
        <v>835</v>
      </c>
      <c r="F69" s="27" t="s">
        <v>841</v>
      </c>
      <c r="G69" s="43" t="n">
        <v>3</v>
      </c>
      <c r="H69" s="27" t="s">
        <v>1011</v>
      </c>
      <c r="I69" s="70" t="s">
        <v>849</v>
      </c>
      <c r="J69" s="27" t="s">
        <v>1025</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1026</v>
      </c>
      <c r="E82" s="73"/>
      <c r="F82" s="73"/>
      <c r="G82" s="21" t="n">
        <f aca="false">SUM(G$5:G$80)</f>
        <v>351</v>
      </c>
    </row>
    <row r="83" customFormat="false" ht="15" hidden="false" customHeight="true" outlineLevel="0" collapsed="false">
      <c r="D83" s="74" t="s">
        <v>1027</v>
      </c>
      <c r="E83" s="74"/>
      <c r="F83" s="74"/>
      <c r="G83" s="32" t="n">
        <f aca="false">SUMIF(E$5:E$80,"Must",G$5:G$80)</f>
        <v>306</v>
      </c>
    </row>
    <row r="84" customFormat="false" ht="15" hidden="false" customHeight="true" outlineLevel="0" collapsed="false">
      <c r="D84" s="74" t="s">
        <v>1028</v>
      </c>
      <c r="E84" s="74"/>
      <c r="F84" s="74"/>
      <c r="G84" s="32" t="n">
        <f aca="false">SUMIF(E$5:E$80,"Should",G$5:G$80)+SUMIF(E$5:E$80,"Could",G$5:G$80)</f>
        <v>45</v>
      </c>
    </row>
    <row r="85" customFormat="false" ht="15" hidden="false" customHeight="true" outlineLevel="0" collapsed="false">
      <c r="D85" s="74" t="s">
        <v>1029</v>
      </c>
      <c r="E85" s="74"/>
      <c r="F85" s="74"/>
      <c r="G85" s="32" t="n">
        <f aca="false">SUMIF(I$5:I$80,"Done",G$5:G$80)</f>
        <v>113</v>
      </c>
    </row>
    <row r="86" customFormat="false" ht="15" hidden="false" customHeight="true" outlineLevel="0" collapsed="false">
      <c r="D86" s="74" t="s">
        <v>1030</v>
      </c>
      <c r="E86" s="74"/>
      <c r="F86" s="74"/>
      <c r="G86" s="75" t="n">
        <f aca="false">IF(G83=0,0,SUMIFS(G$5:G$80,E$5:E$80,"Must",I$5:I$80,"Done")/G83)</f>
        <v>0.333333333333333</v>
      </c>
    </row>
    <row r="89" customFormat="false" ht="15" hidden="false" customHeight="true" outlineLevel="0" collapsed="false">
      <c r="A89" s="6" t="s">
        <v>1031</v>
      </c>
      <c r="B89" s="6"/>
      <c r="C89" s="6"/>
      <c r="D89" s="6"/>
      <c r="E89" s="6"/>
      <c r="F89" s="6"/>
      <c r="G89" s="6"/>
      <c r="H89" s="6"/>
      <c r="I89" s="6"/>
      <c r="J89" s="6"/>
    </row>
    <row r="90" customFormat="false" ht="15" hidden="false" customHeight="true" outlineLevel="0" collapsed="false">
      <c r="A90" s="9" t="s">
        <v>829</v>
      </c>
      <c r="B90" s="9"/>
      <c r="C90" s="9" t="s">
        <v>1032</v>
      </c>
      <c r="D90" s="9" t="s">
        <v>1033</v>
      </c>
      <c r="E90" s="9" t="s">
        <v>1034</v>
      </c>
      <c r="F90" s="9" t="s">
        <v>1035</v>
      </c>
    </row>
    <row r="91" customFormat="false" ht="15" hidden="false" customHeight="true" outlineLevel="0" collapsed="false">
      <c r="A91" s="76" t="s">
        <v>502</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841</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848</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941</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996</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1036</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1032</v>
      </c>
      <c r="D99" s="9" t="s">
        <v>1037</v>
      </c>
      <c r="E99" s="9" t="s">
        <v>1034</v>
      </c>
      <c r="F99" s="9" t="s">
        <v>1035</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1038</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1039</v>
      </c>
      <c r="B2" s="3"/>
      <c r="C2" s="3"/>
      <c r="D2" s="3"/>
      <c r="E2" s="3"/>
      <c r="F2" s="3"/>
      <c r="G2" s="3"/>
      <c r="H2" s="3"/>
    </row>
    <row r="4" customFormat="false" ht="15" hidden="false" customHeight="true" outlineLevel="0" collapsed="false">
      <c r="A4" s="58" t="s">
        <v>5</v>
      </c>
      <c r="B4" s="58" t="s">
        <v>6</v>
      </c>
      <c r="C4" s="58" t="s">
        <v>1040</v>
      </c>
      <c r="D4" s="58" t="s">
        <v>1041</v>
      </c>
      <c r="E4" s="58" t="s">
        <v>1042</v>
      </c>
      <c r="F4" s="58" t="s">
        <v>1043</v>
      </c>
      <c r="G4" s="58" t="s">
        <v>1044</v>
      </c>
      <c r="H4" s="9" t="s">
        <v>1045</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1046</v>
      </c>
      <c r="F5" s="27" t="s">
        <v>1047</v>
      </c>
      <c r="G5" s="27" t="s">
        <v>1048</v>
      </c>
      <c r="H5" s="27" t="s">
        <v>1049</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1050</v>
      </c>
      <c r="F6" s="28" t="s">
        <v>1051</v>
      </c>
      <c r="G6" s="28" t="s">
        <v>1052</v>
      </c>
      <c r="H6" s="59" t="s">
        <v>1053</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1054</v>
      </c>
      <c r="F7" s="27" t="s">
        <v>1055</v>
      </c>
      <c r="G7" s="27" t="s">
        <v>1056</v>
      </c>
      <c r="H7" s="27" t="s">
        <v>1057</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1058</v>
      </c>
      <c r="F8" s="28" t="s">
        <v>1059</v>
      </c>
      <c r="G8" s="28" t="s">
        <v>1060</v>
      </c>
      <c r="H8" s="59" t="s">
        <v>1061</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1062</v>
      </c>
      <c r="F9" s="27" t="s">
        <v>1063</v>
      </c>
      <c r="G9" s="27" t="s">
        <v>1064</v>
      </c>
      <c r="H9" s="27" t="s">
        <v>1065</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1066</v>
      </c>
      <c r="F10" s="28" t="s">
        <v>541</v>
      </c>
      <c r="G10" s="28" t="s">
        <v>1067</v>
      </c>
      <c r="H10" s="59" t="s">
        <v>1068</v>
      </c>
    </row>
    <row r="12" customFormat="false" ht="15" hidden="false" customHeight="true" outlineLevel="0" collapsed="false">
      <c r="A12" s="20" t="s">
        <v>1069</v>
      </c>
      <c r="B12" s="82" t="n">
        <f aca="false">D10</f>
        <v>46691</v>
      </c>
      <c r="C12" s="82"/>
    </row>
    <row r="13" customFormat="false" ht="15" hidden="false" customHeight="true" outlineLevel="0" collapsed="false">
      <c r="A13" s="4" t="s">
        <v>1070</v>
      </c>
      <c r="B13" s="83" t="n">
        <f aca="false">B12-Assumptions!B7</f>
        <v>387</v>
      </c>
      <c r="C13" s="83"/>
    </row>
    <row r="14" customFormat="false" ht="15" hidden="false" customHeight="true" outlineLevel="0" collapsed="false">
      <c r="A14" s="24" t="s">
        <v>1071</v>
      </c>
      <c r="B14" s="24"/>
      <c r="C14" s="24"/>
      <c r="D14" s="24"/>
      <c r="E14" s="24"/>
      <c r="F14" s="24"/>
      <c r="G14" s="24"/>
      <c r="H14" s="24"/>
    </row>
    <row r="15" customFormat="false" ht="24" hidden="false" customHeight="true" outlineLevel="0" collapsed="false">
      <c r="A15" s="54" t="s">
        <v>1072</v>
      </c>
      <c r="B15" s="54"/>
      <c r="C15" s="54"/>
      <c r="D15" s="54"/>
      <c r="E15" s="54"/>
      <c r="F15" s="54"/>
      <c r="G15" s="54"/>
      <c r="H15" s="54"/>
    </row>
    <row r="16" customFormat="false" ht="30" hidden="false" customHeight="true" outlineLevel="0" collapsed="false">
      <c r="A16" s="54" t="s">
        <v>1073</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1074</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1075</v>
      </c>
      <c r="B4" s="9" t="s">
        <v>1040</v>
      </c>
      <c r="C4" s="9" t="s">
        <v>1041</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1076</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1077</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1078</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1079</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1080</v>
      </c>
      <c r="B2" s="3"/>
      <c r="C2" s="3"/>
      <c r="D2" s="3"/>
      <c r="E2" s="3"/>
      <c r="F2" s="3"/>
      <c r="G2" s="3"/>
      <c r="H2" s="3"/>
    </row>
    <row r="4" customFormat="false" ht="15" hidden="false" customHeight="true" outlineLevel="0" collapsed="false">
      <c r="A4" s="58" t="s">
        <v>1081</v>
      </c>
      <c r="B4" s="58" t="s">
        <v>1082</v>
      </c>
      <c r="C4" s="58" t="s">
        <v>96</v>
      </c>
      <c r="D4" s="58" t="s">
        <v>98</v>
      </c>
      <c r="E4" s="58" t="s">
        <v>100</v>
      </c>
      <c r="F4" s="58" t="s">
        <v>102</v>
      </c>
      <c r="G4" s="58" t="s">
        <v>104</v>
      </c>
      <c r="H4" s="58" t="s">
        <v>106</v>
      </c>
      <c r="I4" s="58" t="s">
        <v>1083</v>
      </c>
      <c r="J4" s="58" t="s">
        <v>7</v>
      </c>
    </row>
    <row r="5" customFormat="false" ht="21.75" hidden="false" customHeight="true" outlineLevel="0" collapsed="false">
      <c r="A5" s="26" t="s">
        <v>502</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841</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848</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941</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996</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1084</v>
      </c>
      <c r="B11" s="72" t="s">
        <v>1085</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1086</v>
      </c>
      <c r="B12" s="72" t="s">
        <v>1087</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1088</v>
      </c>
      <c r="B13" s="6"/>
      <c r="C13" s="6"/>
      <c r="D13" s="6"/>
      <c r="E13" s="6"/>
      <c r="F13" s="6"/>
      <c r="G13" s="6"/>
      <c r="H13" s="6"/>
    </row>
    <row r="14" customFormat="false" ht="15" hidden="false" customHeight="true" outlineLevel="0" collapsed="false">
      <c r="A14" s="9" t="s">
        <v>5</v>
      </c>
      <c r="B14" s="9" t="s">
        <v>1089</v>
      </c>
      <c r="C14" s="9" t="s">
        <v>502</v>
      </c>
      <c r="D14" s="9" t="s">
        <v>841</v>
      </c>
      <c r="E14" s="9" t="s">
        <v>848</v>
      </c>
      <c r="F14" s="9" t="s">
        <v>941</v>
      </c>
      <c r="G14" s="9" t="s">
        <v>996</v>
      </c>
      <c r="H14" s="9" t="s">
        <v>100</v>
      </c>
      <c r="I14" s="9" t="s">
        <v>1083</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1090</v>
      </c>
      <c r="B21" s="20"/>
      <c r="C21" s="20"/>
      <c r="D21" s="20"/>
      <c r="E21" s="20"/>
      <c r="F21" s="20"/>
      <c r="G21" s="20"/>
      <c r="H21" s="20"/>
      <c r="I21" s="20"/>
      <c r="J21" s="93" t="n">
        <f aca="false">SUM(J15:J20)</f>
        <v>323100</v>
      </c>
    </row>
    <row r="22" customFormat="false" ht="15" hidden="false" customHeight="true" outlineLevel="0" collapsed="false">
      <c r="A22" s="50" t="s">
        <v>1091</v>
      </c>
      <c r="B22" s="50"/>
      <c r="C22" s="50"/>
      <c r="D22" s="50"/>
      <c r="E22" s="50"/>
      <c r="F22" s="50"/>
      <c r="G22" s="50"/>
      <c r="H22" s="50"/>
      <c r="I22" s="94" t="n">
        <f aca="false">Assumptions!B32</f>
        <v>0.15</v>
      </c>
      <c r="J22" s="91" t="n">
        <f aca="false">J21*I22</f>
        <v>48465</v>
      </c>
    </row>
    <row r="23" customFormat="false" ht="15" hidden="false" customHeight="true" outlineLevel="0" collapsed="false">
      <c r="A23" s="50" t="s">
        <v>1092</v>
      </c>
      <c r="B23" s="50"/>
      <c r="C23" s="50"/>
      <c r="D23" s="50"/>
      <c r="E23" s="50"/>
      <c r="F23" s="50"/>
      <c r="G23" s="50"/>
      <c r="H23" s="50"/>
      <c r="I23" s="50"/>
      <c r="J23" s="91" t="n">
        <f aca="false">Assumptions!B34</f>
        <v>18000</v>
      </c>
    </row>
    <row r="24" customFormat="false" ht="15" hidden="false" customHeight="true" outlineLevel="0" collapsed="false">
      <c r="A24" s="50" t="s">
        <v>1093</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1094</v>
      </c>
      <c r="B28" s="50"/>
      <c r="C28" s="50"/>
      <c r="D28" s="50"/>
      <c r="E28" s="50"/>
      <c r="F28" s="50"/>
      <c r="G28" s="50"/>
      <c r="H28" s="50"/>
      <c r="I28" s="50"/>
      <c r="J28" s="91" t="n">
        <f aca="false">Assumptions!B75</f>
        <v>100</v>
      </c>
    </row>
    <row r="29" customFormat="false" ht="15" hidden="false" customHeight="true" outlineLevel="0" collapsed="false">
      <c r="A29" s="26" t="s">
        <v>1095</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1096</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1097</v>
      </c>
    </row>
    <row r="34" customFormat="false" ht="15" hidden="false" customHeight="true" outlineLevel="0" collapsed="false">
      <c r="A34" s="96" t="s">
        <v>1098</v>
      </c>
      <c r="B34" s="96"/>
      <c r="C34" s="96"/>
      <c r="D34" s="96"/>
      <c r="E34" s="96"/>
      <c r="F34" s="96"/>
      <c r="G34" s="96"/>
      <c r="H34" s="96"/>
      <c r="I34" s="96"/>
      <c r="J34" s="96"/>
    </row>
    <row r="35" customFormat="false" ht="15" hidden="false" customHeight="true" outlineLevel="0" collapsed="false">
      <c r="A35" s="4" t="s">
        <v>1090</v>
      </c>
      <c r="B35" s="91" t="n">
        <f aca="false">J21</f>
        <v>323100</v>
      </c>
    </row>
    <row r="36" customFormat="false" ht="15" hidden="false" customHeight="true" outlineLevel="0" collapsed="false">
      <c r="A36" s="4" t="s">
        <v>1099</v>
      </c>
      <c r="B36" s="91" t="n">
        <f aca="false">J31</f>
        <v>460504.8</v>
      </c>
    </row>
    <row r="37" customFormat="false" ht="15" hidden="false" customHeight="true" outlineLevel="0" collapsed="false">
      <c r="A37" s="4" t="s">
        <v>1100</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1101</v>
      </c>
      <c r="B2" s="3"/>
      <c r="C2" s="3"/>
      <c r="D2" s="3"/>
      <c r="E2" s="3"/>
    </row>
    <row r="4" customFormat="false" ht="15" hidden="false" customHeight="true" outlineLevel="0" collapsed="false">
      <c r="A4" s="6" t="s">
        <v>1102</v>
      </c>
      <c r="B4" s="6"/>
      <c r="C4" s="6"/>
      <c r="D4" s="6"/>
      <c r="E4" s="6"/>
    </row>
    <row r="5" customFormat="false" ht="15" hidden="false" customHeight="true" outlineLevel="0" collapsed="false">
      <c r="A5" s="9" t="s">
        <v>110</v>
      </c>
      <c r="B5" s="9" t="s">
        <v>42</v>
      </c>
      <c r="C5" s="29" t="s">
        <v>673</v>
      </c>
      <c r="D5" s="29"/>
      <c r="E5" s="29"/>
    </row>
    <row r="6" customFormat="false" ht="15" hidden="false" customHeight="true" outlineLevel="0" collapsed="false">
      <c r="A6" s="4" t="s">
        <v>179</v>
      </c>
      <c r="B6" s="97" t="n">
        <f aca="false">Assumptions!B69</f>
        <v>19.99</v>
      </c>
      <c r="C6" s="33" t="s">
        <v>1103</v>
      </c>
      <c r="D6" s="33"/>
      <c r="E6" s="33"/>
    </row>
    <row r="7" customFormat="false" ht="15" hidden="false" customHeight="true" outlineLevel="0" collapsed="false">
      <c r="A7" s="4" t="s">
        <v>1104</v>
      </c>
      <c r="B7" s="98" t="n">
        <f aca="false">B6*Assumptions!B70</f>
        <v>15.992</v>
      </c>
      <c r="C7" s="33" t="s">
        <v>1105</v>
      </c>
      <c r="D7" s="33"/>
      <c r="E7" s="33"/>
    </row>
    <row r="8" customFormat="false" ht="15" hidden="false" customHeight="true" outlineLevel="0" collapsed="false">
      <c r="A8" s="4" t="s">
        <v>1106</v>
      </c>
      <c r="B8" s="98" t="n">
        <f aca="false">B7*(1-Assumptions!B71)</f>
        <v>14.71264</v>
      </c>
      <c r="C8" s="33"/>
      <c r="D8" s="33"/>
      <c r="E8" s="33"/>
    </row>
    <row r="9" customFormat="false" ht="15" hidden="false" customHeight="true" outlineLevel="0" collapsed="false">
      <c r="A9" s="4" t="s">
        <v>1107</v>
      </c>
      <c r="B9" s="75" t="n">
        <f aca="false">Assumptions!B72*(1-Assumptions!B74)+Assumptions!B73*Assumptions!B74</f>
        <v>0.29</v>
      </c>
      <c r="C9" s="33" t="s">
        <v>1108</v>
      </c>
      <c r="D9" s="33"/>
      <c r="E9" s="33"/>
    </row>
    <row r="10" customFormat="false" ht="15" hidden="false" customHeight="true" outlineLevel="0" collapsed="false">
      <c r="A10" s="20" t="s">
        <v>1109</v>
      </c>
      <c r="B10" s="99" t="n">
        <f aca="false">B8*(1-B9)</f>
        <v>10.4459744</v>
      </c>
      <c r="C10" s="33" t="s">
        <v>1110</v>
      </c>
      <c r="D10" s="33"/>
      <c r="E10" s="33"/>
    </row>
    <row r="12" customFormat="false" ht="15" hidden="false" customHeight="true" outlineLevel="0" collapsed="false">
      <c r="A12" s="6" t="s">
        <v>1111</v>
      </c>
      <c r="B12" s="6"/>
      <c r="C12" s="6"/>
      <c r="D12" s="6"/>
      <c r="E12" s="6"/>
    </row>
    <row r="13" customFormat="false" ht="15" hidden="false" customHeight="true" outlineLevel="0" collapsed="false">
      <c r="A13" s="9" t="s">
        <v>110</v>
      </c>
      <c r="B13" s="9" t="s">
        <v>42</v>
      </c>
      <c r="C13" s="29" t="s">
        <v>673</v>
      </c>
      <c r="D13" s="29"/>
      <c r="E13" s="29"/>
    </row>
    <row r="14" customFormat="false" ht="15" hidden="false" customHeight="true" outlineLevel="0" collapsed="false">
      <c r="A14" s="4" t="s">
        <v>12</v>
      </c>
      <c r="B14" s="90" t="n">
        <f aca="false">TeamBudget!B36</f>
        <v>460504.8</v>
      </c>
      <c r="C14" s="33" t="s">
        <v>1112</v>
      </c>
      <c r="D14" s="33"/>
      <c r="E14" s="33"/>
    </row>
    <row r="15" customFormat="false" ht="15" hidden="false" customHeight="true" outlineLevel="0" collapsed="false">
      <c r="A15" s="67" t="s">
        <v>1113</v>
      </c>
      <c r="B15" s="100" t="n">
        <f aca="false">IF(B10=0,0,ROUNDUP(B14/B10,0))</f>
        <v>44085</v>
      </c>
      <c r="C15" s="33" t="s">
        <v>1114</v>
      </c>
      <c r="D15" s="33"/>
      <c r="E15" s="33"/>
    </row>
    <row r="16" customFormat="false" ht="15" hidden="false" customHeight="true" outlineLevel="0" collapsed="false">
      <c r="A16" s="4" t="s">
        <v>1115</v>
      </c>
      <c r="B16" s="90" t="n">
        <f aca="false">TeamBudget!B37</f>
        <v>98632.8</v>
      </c>
      <c r="C16" s="33" t="s">
        <v>1116</v>
      </c>
      <c r="D16" s="33"/>
      <c r="E16" s="33"/>
    </row>
    <row r="17" customFormat="false" ht="15" hidden="false" customHeight="true" outlineLevel="0" collapsed="false">
      <c r="A17" s="67" t="s">
        <v>1117</v>
      </c>
      <c r="B17" s="100" t="n">
        <f aca="false">IF(B10=0,0,ROUNDUP(B16/B10,0))</f>
        <v>9443</v>
      </c>
      <c r="C17" s="33" t="s">
        <v>1118</v>
      </c>
      <c r="D17" s="33"/>
      <c r="E17" s="33"/>
    </row>
    <row r="18" customFormat="false" ht="15" hidden="false" customHeight="true" outlineLevel="0" collapsed="false">
      <c r="A18" s="4" t="s">
        <v>1119</v>
      </c>
      <c r="B18" s="91" t="n">
        <f aca="false">B15*B6</f>
        <v>881259.15</v>
      </c>
      <c r="C18" s="33" t="s">
        <v>1120</v>
      </c>
      <c r="D18" s="33"/>
      <c r="E18" s="33"/>
    </row>
    <row r="20" customFormat="false" ht="15" hidden="false" customHeight="true" outlineLevel="0" collapsed="false">
      <c r="A20" s="6" t="s">
        <v>1121</v>
      </c>
      <c r="B20" s="6"/>
      <c r="C20" s="6"/>
      <c r="D20" s="6"/>
      <c r="E20" s="6"/>
    </row>
    <row r="21" customFormat="false" ht="15" hidden="false" customHeight="true" outlineLevel="0" collapsed="false">
      <c r="A21" s="9" t="s">
        <v>1122</v>
      </c>
      <c r="B21" s="9" t="s">
        <v>1123</v>
      </c>
      <c r="C21" s="9" t="s">
        <v>1124</v>
      </c>
      <c r="D21" s="9" t="s">
        <v>1125</v>
      </c>
      <c r="E21" s="9" t="s">
        <v>1035</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1126</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1127</v>
      </c>
      <c r="B2" s="3"/>
      <c r="C2" s="3"/>
      <c r="D2" s="3"/>
      <c r="E2" s="3"/>
      <c r="F2" s="3"/>
      <c r="G2" s="3"/>
      <c r="H2" s="3"/>
    </row>
    <row r="4" customFormat="false" ht="15" hidden="false" customHeight="true" outlineLevel="0" collapsed="false">
      <c r="A4" s="58" t="s">
        <v>1045</v>
      </c>
      <c r="B4" s="58" t="s">
        <v>1128</v>
      </c>
      <c r="C4" s="58" t="s">
        <v>1129</v>
      </c>
      <c r="D4" s="58" t="s">
        <v>1130</v>
      </c>
      <c r="E4" s="58" t="s">
        <v>829</v>
      </c>
      <c r="F4" s="9" t="s">
        <v>44</v>
      </c>
      <c r="G4" s="9" t="s">
        <v>1131</v>
      </c>
      <c r="H4" s="9" t="s">
        <v>1132</v>
      </c>
    </row>
    <row r="5" customFormat="false" ht="36" hidden="false" customHeight="true" outlineLevel="0" collapsed="false">
      <c r="A5" s="27" t="s">
        <v>1049</v>
      </c>
      <c r="B5" s="87" t="n">
        <f aca="false">Schedule!D5</f>
        <v>46383</v>
      </c>
      <c r="C5" s="27" t="s">
        <v>1133</v>
      </c>
      <c r="D5" s="27" t="s">
        <v>1134</v>
      </c>
      <c r="E5" s="27" t="s">
        <v>502</v>
      </c>
      <c r="F5" s="70" t="s">
        <v>1135</v>
      </c>
      <c r="G5" s="27" t="s">
        <v>1136</v>
      </c>
      <c r="H5" s="27" t="s">
        <v>1137</v>
      </c>
    </row>
    <row r="6" customFormat="false" ht="36" hidden="false" customHeight="true" outlineLevel="0" collapsed="false">
      <c r="A6" s="59" t="s">
        <v>1053</v>
      </c>
      <c r="B6" s="87" t="n">
        <f aca="false">Schedule!D6</f>
        <v>46453</v>
      </c>
      <c r="C6" s="59" t="s">
        <v>1138</v>
      </c>
      <c r="D6" s="59" t="s">
        <v>1139</v>
      </c>
      <c r="E6" s="59" t="s">
        <v>841</v>
      </c>
      <c r="F6" s="70" t="s">
        <v>1135</v>
      </c>
      <c r="G6" s="59" t="s">
        <v>1140</v>
      </c>
      <c r="H6" s="59" t="s">
        <v>1141</v>
      </c>
    </row>
    <row r="7" customFormat="false" ht="36" hidden="false" customHeight="true" outlineLevel="0" collapsed="false">
      <c r="A7" s="27" t="s">
        <v>1057</v>
      </c>
      <c r="B7" s="87" t="n">
        <f aca="false">Schedule!D7</f>
        <v>46579</v>
      </c>
      <c r="C7" s="27" t="s">
        <v>1142</v>
      </c>
      <c r="D7" s="27" t="s">
        <v>1143</v>
      </c>
      <c r="E7" s="27" t="s">
        <v>502</v>
      </c>
      <c r="F7" s="70" t="s">
        <v>853</v>
      </c>
      <c r="G7" s="27" t="s">
        <v>1144</v>
      </c>
      <c r="H7" s="27" t="s">
        <v>1145</v>
      </c>
    </row>
    <row r="8" customFormat="false" ht="36" hidden="false" customHeight="true" outlineLevel="0" collapsed="false">
      <c r="A8" s="59" t="s">
        <v>1061</v>
      </c>
      <c r="B8" s="87" t="n">
        <f aca="false">Schedule!D8</f>
        <v>46621</v>
      </c>
      <c r="C8" s="59" t="s">
        <v>1146</v>
      </c>
      <c r="D8" s="59" t="s">
        <v>1147</v>
      </c>
      <c r="E8" s="59" t="s">
        <v>100</v>
      </c>
      <c r="F8" s="70" t="s">
        <v>853</v>
      </c>
      <c r="G8" s="59" t="s">
        <v>1148</v>
      </c>
      <c r="H8" s="59" t="s">
        <v>1149</v>
      </c>
    </row>
    <row r="9" customFormat="false" ht="36" hidden="false" customHeight="true" outlineLevel="0" collapsed="false">
      <c r="A9" s="27" t="s">
        <v>1065</v>
      </c>
      <c r="B9" s="87" t="n">
        <f aca="false">Schedule!D9</f>
        <v>46663</v>
      </c>
      <c r="C9" s="27" t="s">
        <v>1150</v>
      </c>
      <c r="D9" s="27" t="s">
        <v>1151</v>
      </c>
      <c r="E9" s="27" t="s">
        <v>996</v>
      </c>
      <c r="F9" s="70" t="s">
        <v>849</v>
      </c>
      <c r="G9" s="27" t="s">
        <v>1152</v>
      </c>
      <c r="H9" s="27" t="s">
        <v>1153</v>
      </c>
    </row>
    <row r="10" customFormat="false" ht="36" hidden="false" customHeight="true" outlineLevel="0" collapsed="false">
      <c r="A10" s="59" t="s">
        <v>1068</v>
      </c>
      <c r="B10" s="87" t="n">
        <f aca="false">Schedule!D10</f>
        <v>46691</v>
      </c>
      <c r="C10" s="59" t="s">
        <v>1154</v>
      </c>
      <c r="D10" s="59" t="s">
        <v>1155</v>
      </c>
      <c r="E10" s="59" t="s">
        <v>100</v>
      </c>
      <c r="F10" s="70" t="s">
        <v>849</v>
      </c>
      <c r="G10" s="59" t="s">
        <v>1156</v>
      </c>
      <c r="H10" s="59" t="s">
        <v>607</v>
      </c>
    </row>
    <row r="12" customFormat="false" ht="27" hidden="false" customHeight="true" outlineLevel="0" collapsed="false">
      <c r="A12" s="54" t="s">
        <v>1157</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1158</v>
      </c>
      <c r="B2" s="3"/>
      <c r="C2" s="3"/>
      <c r="D2" s="3"/>
      <c r="E2" s="3"/>
      <c r="F2" s="3"/>
      <c r="G2" s="3"/>
      <c r="H2" s="3"/>
      <c r="I2" s="3"/>
      <c r="J2" s="3"/>
    </row>
    <row r="4" customFormat="false" ht="15" hidden="false" customHeight="true" outlineLevel="0" collapsed="false">
      <c r="A4" s="58" t="s">
        <v>493</v>
      </c>
      <c r="B4" s="58" t="s">
        <v>1159</v>
      </c>
      <c r="C4" s="58" t="s">
        <v>1160</v>
      </c>
      <c r="D4" s="58" t="s">
        <v>1161</v>
      </c>
      <c r="E4" s="58" t="s">
        <v>643</v>
      </c>
      <c r="F4" s="58" t="s">
        <v>1162</v>
      </c>
      <c r="G4" s="58" t="s">
        <v>829</v>
      </c>
      <c r="H4" s="58" t="s">
        <v>1163</v>
      </c>
      <c r="I4" s="9" t="s">
        <v>1164</v>
      </c>
      <c r="J4" s="9" t="s">
        <v>44</v>
      </c>
    </row>
    <row r="5" customFormat="false" ht="31.5" hidden="false" customHeight="true" outlineLevel="0" collapsed="false">
      <c r="A5" s="59" t="s">
        <v>1165</v>
      </c>
      <c r="B5" s="59" t="s">
        <v>1166</v>
      </c>
      <c r="C5" s="43" t="n">
        <v>3</v>
      </c>
      <c r="D5" s="43" t="n">
        <v>5</v>
      </c>
      <c r="E5" s="32" t="n">
        <f aca="false">C5*D5</f>
        <v>15</v>
      </c>
      <c r="F5" s="59" t="s">
        <v>1167</v>
      </c>
      <c r="G5" s="59" t="s">
        <v>502</v>
      </c>
      <c r="H5" s="59" t="s">
        <v>1053</v>
      </c>
      <c r="I5" s="59" t="s">
        <v>1168</v>
      </c>
      <c r="J5" s="70" t="s">
        <v>1169</v>
      </c>
    </row>
    <row r="6" customFormat="false" ht="31.5" hidden="false" customHeight="true" outlineLevel="0" collapsed="false">
      <c r="A6" s="59" t="s">
        <v>1170</v>
      </c>
      <c r="B6" s="59" t="s">
        <v>1171</v>
      </c>
      <c r="C6" s="43" t="n">
        <v>3</v>
      </c>
      <c r="D6" s="43" t="n">
        <v>4</v>
      </c>
      <c r="E6" s="32" t="n">
        <f aca="false">C6*D6</f>
        <v>12</v>
      </c>
      <c r="F6" s="59" t="s">
        <v>1172</v>
      </c>
      <c r="G6" s="59" t="s">
        <v>502</v>
      </c>
      <c r="H6" s="59" t="s">
        <v>1053</v>
      </c>
      <c r="I6" s="59" t="s">
        <v>1173</v>
      </c>
      <c r="J6" s="70" t="s">
        <v>1174</v>
      </c>
    </row>
    <row r="7" customFormat="false" ht="31.5" hidden="false" customHeight="true" outlineLevel="0" collapsed="false">
      <c r="A7" s="59" t="s">
        <v>1175</v>
      </c>
      <c r="B7" s="59" t="s">
        <v>1176</v>
      </c>
      <c r="C7" s="43" t="n">
        <v>2</v>
      </c>
      <c r="D7" s="43" t="n">
        <v>4</v>
      </c>
      <c r="E7" s="32" t="n">
        <f aca="false">C7*D7</f>
        <v>8</v>
      </c>
      <c r="F7" s="59" t="s">
        <v>1177</v>
      </c>
      <c r="G7" s="59" t="s">
        <v>841</v>
      </c>
      <c r="H7" s="59" t="s">
        <v>1065</v>
      </c>
      <c r="I7" s="59" t="s">
        <v>1178</v>
      </c>
      <c r="J7" s="70" t="s">
        <v>1174</v>
      </c>
    </row>
    <row r="8" customFormat="false" ht="31.5" hidden="false" customHeight="true" outlineLevel="0" collapsed="false">
      <c r="A8" s="59" t="s">
        <v>1179</v>
      </c>
      <c r="B8" s="59" t="s">
        <v>1180</v>
      </c>
      <c r="C8" s="43" t="n">
        <v>4</v>
      </c>
      <c r="D8" s="43" t="n">
        <v>3</v>
      </c>
      <c r="E8" s="32" t="n">
        <f aca="false">C8*D8</f>
        <v>12</v>
      </c>
      <c r="F8" s="59" t="s">
        <v>1181</v>
      </c>
      <c r="G8" s="59" t="s">
        <v>100</v>
      </c>
      <c r="H8" s="59" t="s">
        <v>1057</v>
      </c>
      <c r="I8" s="59" t="s">
        <v>1182</v>
      </c>
      <c r="J8" s="70" t="s">
        <v>1174</v>
      </c>
    </row>
    <row r="9" customFormat="false" ht="31.5" hidden="false" customHeight="true" outlineLevel="0" collapsed="false">
      <c r="A9" s="59" t="s">
        <v>1183</v>
      </c>
      <c r="B9" s="59" t="s">
        <v>1184</v>
      </c>
      <c r="C9" s="43" t="n">
        <v>2</v>
      </c>
      <c r="D9" s="43" t="n">
        <v>3</v>
      </c>
      <c r="E9" s="32" t="n">
        <f aca="false">C9*D9</f>
        <v>6</v>
      </c>
      <c r="F9" s="59" t="s">
        <v>1185</v>
      </c>
      <c r="G9" s="59" t="s">
        <v>848</v>
      </c>
      <c r="H9" s="59" t="s">
        <v>1057</v>
      </c>
      <c r="I9" s="59" t="s">
        <v>1186</v>
      </c>
      <c r="J9" s="70" t="s">
        <v>1174</v>
      </c>
    </row>
    <row r="10" customFormat="false" ht="31.5" hidden="false" customHeight="true" outlineLevel="0" collapsed="false">
      <c r="A10" s="59" t="s">
        <v>1187</v>
      </c>
      <c r="B10" s="59" t="s">
        <v>1188</v>
      </c>
      <c r="C10" s="43" t="n">
        <v>2</v>
      </c>
      <c r="D10" s="43" t="n">
        <v>5</v>
      </c>
      <c r="E10" s="32" t="n">
        <f aca="false">C10*D10</f>
        <v>10</v>
      </c>
      <c r="F10" s="59" t="s">
        <v>1189</v>
      </c>
      <c r="G10" s="59" t="s">
        <v>502</v>
      </c>
      <c r="H10" s="59" t="s">
        <v>1057</v>
      </c>
      <c r="I10" s="59" t="s">
        <v>1190</v>
      </c>
      <c r="J10" s="70" t="s">
        <v>1174</v>
      </c>
    </row>
    <row r="11" customFormat="false" ht="31.5" hidden="false" customHeight="true" outlineLevel="0" collapsed="false">
      <c r="A11" s="59" t="s">
        <v>1191</v>
      </c>
      <c r="B11" s="59" t="s">
        <v>1192</v>
      </c>
      <c r="C11" s="43" t="n">
        <v>3</v>
      </c>
      <c r="D11" s="43" t="n">
        <v>4</v>
      </c>
      <c r="E11" s="32" t="n">
        <f aca="false">C11*D11</f>
        <v>12</v>
      </c>
      <c r="F11" s="59" t="s">
        <v>1193</v>
      </c>
      <c r="G11" s="59" t="s">
        <v>100</v>
      </c>
      <c r="H11" s="59" t="s">
        <v>1061</v>
      </c>
      <c r="I11" s="59" t="s">
        <v>1194</v>
      </c>
      <c r="J11" s="70" t="s">
        <v>1174</v>
      </c>
    </row>
    <row r="12" customFormat="false" ht="31.5" hidden="false" customHeight="true" outlineLevel="0" collapsed="false">
      <c r="A12" s="59" t="s">
        <v>1195</v>
      </c>
      <c r="B12" s="59" t="s">
        <v>1196</v>
      </c>
      <c r="C12" s="43" t="n">
        <v>2</v>
      </c>
      <c r="D12" s="43" t="n">
        <v>4</v>
      </c>
      <c r="E12" s="32" t="n">
        <f aca="false">C12*D12</f>
        <v>8</v>
      </c>
      <c r="F12" s="59" t="s">
        <v>1197</v>
      </c>
      <c r="G12" s="59" t="s">
        <v>841</v>
      </c>
      <c r="H12" s="59" t="s">
        <v>1049</v>
      </c>
      <c r="I12" s="59" t="s">
        <v>1198</v>
      </c>
      <c r="J12" s="70" t="s">
        <v>1174</v>
      </c>
    </row>
    <row r="13" customFormat="false" ht="31.5" hidden="false" customHeight="true" outlineLevel="0" collapsed="false">
      <c r="A13" s="59" t="s">
        <v>1199</v>
      </c>
      <c r="B13" s="59" t="s">
        <v>1200</v>
      </c>
      <c r="C13" s="43" t="n">
        <v>2</v>
      </c>
      <c r="D13" s="43" t="n">
        <v>2</v>
      </c>
      <c r="E13" s="32" t="n">
        <f aca="false">C13*D13</f>
        <v>4</v>
      </c>
      <c r="F13" s="59" t="s">
        <v>1201</v>
      </c>
      <c r="G13" s="59" t="s">
        <v>502</v>
      </c>
      <c r="H13" s="59" t="s">
        <v>1049</v>
      </c>
      <c r="I13" s="59" t="s">
        <v>1202</v>
      </c>
      <c r="J13" s="70" t="s">
        <v>1174</v>
      </c>
    </row>
    <row r="14" customFormat="false" ht="31.5" hidden="false" customHeight="true" outlineLevel="0" collapsed="false">
      <c r="A14" s="59" t="s">
        <v>1203</v>
      </c>
      <c r="B14" s="59" t="s">
        <v>1204</v>
      </c>
      <c r="C14" s="43" t="n">
        <v>3</v>
      </c>
      <c r="D14" s="43" t="n">
        <v>4</v>
      </c>
      <c r="E14" s="32" t="n">
        <f aca="false">C14*D14</f>
        <v>12</v>
      </c>
      <c r="F14" s="59" t="s">
        <v>1205</v>
      </c>
      <c r="G14" s="59" t="s">
        <v>502</v>
      </c>
      <c r="H14" s="59" t="s">
        <v>1061</v>
      </c>
      <c r="I14" s="59" t="s">
        <v>1206</v>
      </c>
      <c r="J14" s="70" t="s">
        <v>1174</v>
      </c>
    </row>
    <row r="15" customFormat="false" ht="31.5" hidden="false" customHeight="true" outlineLevel="0" collapsed="false">
      <c r="A15" s="59" t="s">
        <v>1207</v>
      </c>
      <c r="B15" s="59" t="s">
        <v>1208</v>
      </c>
      <c r="C15" s="43" t="n">
        <v>3</v>
      </c>
      <c r="D15" s="43" t="n">
        <v>5</v>
      </c>
      <c r="E15" s="32" t="n">
        <f aca="false">C15*D15</f>
        <v>15</v>
      </c>
      <c r="F15" s="59" t="s">
        <v>1209</v>
      </c>
      <c r="G15" s="59" t="s">
        <v>502</v>
      </c>
      <c r="H15" s="59" t="s">
        <v>1057</v>
      </c>
      <c r="I15" s="59" t="s">
        <v>1210</v>
      </c>
      <c r="J15" s="70" t="s">
        <v>1174</v>
      </c>
    </row>
    <row r="16" customFormat="false" ht="31.5" hidden="false" customHeight="true" outlineLevel="0" collapsed="false">
      <c r="A16" s="59" t="s">
        <v>1211</v>
      </c>
      <c r="B16" s="59" t="s">
        <v>1212</v>
      </c>
      <c r="C16" s="43" t="n">
        <v>4</v>
      </c>
      <c r="D16" s="43" t="n">
        <v>4</v>
      </c>
      <c r="E16" s="32" t="n">
        <f aca="false">C16*D16</f>
        <v>16</v>
      </c>
      <c r="F16" s="59" t="s">
        <v>1213</v>
      </c>
      <c r="G16" s="59" t="s">
        <v>100</v>
      </c>
      <c r="H16" s="59" t="s">
        <v>1053</v>
      </c>
      <c r="I16" s="59" t="s">
        <v>1214</v>
      </c>
      <c r="J16" s="70" t="s">
        <v>1174</v>
      </c>
    </row>
    <row r="17" customFormat="false" ht="31.5" hidden="false" customHeight="true" outlineLevel="0" collapsed="false">
      <c r="A17" s="59" t="s">
        <v>1215</v>
      </c>
      <c r="B17" s="59" t="s">
        <v>1216</v>
      </c>
      <c r="C17" s="43" t="n">
        <v>3</v>
      </c>
      <c r="D17" s="43" t="n">
        <v>4</v>
      </c>
      <c r="E17" s="32" t="n">
        <f aca="false">C17*D17</f>
        <v>12</v>
      </c>
      <c r="F17" s="59" t="s">
        <v>1217</v>
      </c>
      <c r="G17" s="59" t="s">
        <v>100</v>
      </c>
      <c r="H17" s="59" t="s">
        <v>1057</v>
      </c>
      <c r="I17" s="59" t="s">
        <v>1218</v>
      </c>
      <c r="J17" s="70" t="s">
        <v>1174</v>
      </c>
    </row>
    <row r="18" customFormat="false" ht="31.5" hidden="false" customHeight="true" outlineLevel="0" collapsed="false">
      <c r="A18" s="59" t="s">
        <v>1219</v>
      </c>
      <c r="B18" s="59" t="s">
        <v>1220</v>
      </c>
      <c r="C18" s="43" t="n">
        <v>2</v>
      </c>
      <c r="D18" s="43" t="n">
        <v>3</v>
      </c>
      <c r="E18" s="32" t="n">
        <f aca="false">C18*D18</f>
        <v>6</v>
      </c>
      <c r="F18" s="59" t="s">
        <v>1221</v>
      </c>
      <c r="G18" s="59" t="s">
        <v>502</v>
      </c>
      <c r="H18" s="59" t="s">
        <v>1065</v>
      </c>
      <c r="I18" s="59" t="s">
        <v>1222</v>
      </c>
      <c r="J18" s="70" t="s">
        <v>1174</v>
      </c>
    </row>
    <row r="19" customFormat="false" ht="31.5" hidden="false" customHeight="true" outlineLevel="0" collapsed="false">
      <c r="A19" s="59" t="s">
        <v>1223</v>
      </c>
      <c r="B19" s="59" t="s">
        <v>1224</v>
      </c>
      <c r="C19" s="43" t="n">
        <v>2</v>
      </c>
      <c r="D19" s="43" t="n">
        <v>4</v>
      </c>
      <c r="E19" s="32" t="n">
        <f aca="false">C19*D19</f>
        <v>8</v>
      </c>
      <c r="F19" s="59" t="s">
        <v>1225</v>
      </c>
      <c r="G19" s="59" t="s">
        <v>841</v>
      </c>
      <c r="H19" s="59" t="s">
        <v>1057</v>
      </c>
      <c r="I19" s="59" t="s">
        <v>1226</v>
      </c>
      <c r="J19" s="70" t="s">
        <v>1174</v>
      </c>
    </row>
    <row r="20" customFormat="false" ht="31.5" hidden="false" customHeight="true" outlineLevel="0" collapsed="false">
      <c r="A20" s="59" t="s">
        <v>1227</v>
      </c>
      <c r="B20" s="59" t="s">
        <v>1228</v>
      </c>
      <c r="C20" s="43" t="n">
        <v>3</v>
      </c>
      <c r="D20" s="43" t="n">
        <v>5</v>
      </c>
      <c r="E20" s="32" t="n">
        <f aca="false">C20*D20</f>
        <v>15</v>
      </c>
      <c r="F20" s="59" t="s">
        <v>1229</v>
      </c>
      <c r="G20" s="59" t="s">
        <v>100</v>
      </c>
      <c r="H20" s="59" t="s">
        <v>1053</v>
      </c>
      <c r="I20" s="59" t="s">
        <v>1230</v>
      </c>
      <c r="J20" s="70" t="s">
        <v>1174</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1231</v>
      </c>
      <c r="B2" s="3"/>
      <c r="C2" s="3"/>
      <c r="D2" s="3"/>
      <c r="E2" s="3"/>
      <c r="F2" s="3"/>
      <c r="G2" s="3"/>
    </row>
    <row r="4" customFormat="false" ht="15" hidden="false" customHeight="true" outlineLevel="0" collapsed="false">
      <c r="A4" s="58" t="s">
        <v>1232</v>
      </c>
      <c r="B4" s="58" t="s">
        <v>1233</v>
      </c>
      <c r="C4" s="58" t="s">
        <v>1234</v>
      </c>
      <c r="D4" s="58" t="s">
        <v>1235</v>
      </c>
      <c r="E4" s="58" t="s">
        <v>95</v>
      </c>
      <c r="F4" s="9" t="s">
        <v>829</v>
      </c>
      <c r="G4" s="9" t="s">
        <v>1236</v>
      </c>
    </row>
    <row r="5" customFormat="false" ht="27.75" hidden="false" customHeight="true" outlineLevel="0" collapsed="false">
      <c r="A5" s="27" t="s">
        <v>1237</v>
      </c>
      <c r="B5" s="27" t="s">
        <v>1238</v>
      </c>
      <c r="C5" s="27" t="s">
        <v>1239</v>
      </c>
      <c r="D5" s="27" t="s">
        <v>1240</v>
      </c>
      <c r="E5" s="27" t="s">
        <v>1241</v>
      </c>
      <c r="F5" s="27" t="s">
        <v>848</v>
      </c>
      <c r="G5" s="27" t="s">
        <v>1242</v>
      </c>
    </row>
    <row r="6" customFormat="false" ht="27.75" hidden="false" customHeight="true" outlineLevel="0" collapsed="false">
      <c r="A6" s="59" t="s">
        <v>801</v>
      </c>
      <c r="B6" s="59" t="s">
        <v>1243</v>
      </c>
      <c r="C6" s="59" t="s">
        <v>1244</v>
      </c>
      <c r="D6" s="59" t="s">
        <v>1245</v>
      </c>
      <c r="E6" s="59" t="s">
        <v>1246</v>
      </c>
      <c r="F6" s="59" t="s">
        <v>1247</v>
      </c>
      <c r="G6" s="59" t="s">
        <v>1248</v>
      </c>
    </row>
    <row r="7" customFormat="false" ht="27.75" hidden="false" customHeight="true" outlineLevel="0" collapsed="false">
      <c r="A7" s="27" t="s">
        <v>1249</v>
      </c>
      <c r="B7" s="27" t="s">
        <v>1250</v>
      </c>
      <c r="C7" s="27" t="s">
        <v>1251</v>
      </c>
      <c r="D7" s="27" t="s">
        <v>1252</v>
      </c>
      <c r="E7" s="27" t="s">
        <v>1253</v>
      </c>
      <c r="F7" s="27" t="s">
        <v>848</v>
      </c>
      <c r="G7" s="27" t="s">
        <v>1248</v>
      </c>
    </row>
    <row r="8" customFormat="false" ht="27.75" hidden="false" customHeight="true" outlineLevel="0" collapsed="false">
      <c r="A8" s="59" t="s">
        <v>1254</v>
      </c>
      <c r="B8" s="59" t="s">
        <v>1255</v>
      </c>
      <c r="C8" s="59" t="s">
        <v>1256</v>
      </c>
      <c r="D8" s="59" t="s">
        <v>1257</v>
      </c>
      <c r="E8" s="59" t="s">
        <v>1258</v>
      </c>
      <c r="F8" s="59" t="s">
        <v>848</v>
      </c>
      <c r="G8" s="59" t="s">
        <v>1259</v>
      </c>
    </row>
    <row r="9" customFormat="false" ht="27.75" hidden="false" customHeight="true" outlineLevel="0" collapsed="false">
      <c r="A9" s="27" t="s">
        <v>686</v>
      </c>
      <c r="B9" s="27" t="s">
        <v>1260</v>
      </c>
      <c r="C9" s="27" t="s">
        <v>1261</v>
      </c>
      <c r="D9" s="27" t="s">
        <v>1262</v>
      </c>
      <c r="E9" s="27" t="s">
        <v>1263</v>
      </c>
      <c r="F9" s="27" t="s">
        <v>848</v>
      </c>
      <c r="G9" s="27" t="s">
        <v>1264</v>
      </c>
    </row>
    <row r="10" customFormat="false" ht="27.75" hidden="false" customHeight="true" outlineLevel="0" collapsed="false">
      <c r="A10" s="59" t="s">
        <v>877</v>
      </c>
      <c r="B10" s="59" t="s">
        <v>1265</v>
      </c>
      <c r="C10" s="59" t="s">
        <v>1266</v>
      </c>
      <c r="D10" s="59" t="s">
        <v>999</v>
      </c>
      <c r="E10" s="59" t="s">
        <v>1267</v>
      </c>
      <c r="F10" s="59" t="s">
        <v>848</v>
      </c>
      <c r="G10" s="59" t="s">
        <v>1268</v>
      </c>
    </row>
    <row r="11" customFormat="false" ht="27.75" hidden="false" customHeight="true" outlineLevel="0" collapsed="false">
      <c r="A11" s="27" t="s">
        <v>941</v>
      </c>
      <c r="B11" s="27" t="s">
        <v>1269</v>
      </c>
      <c r="C11" s="27" t="s">
        <v>1270</v>
      </c>
      <c r="D11" s="27" t="s">
        <v>1271</v>
      </c>
      <c r="E11" s="27" t="s">
        <v>1272</v>
      </c>
      <c r="F11" s="27" t="s">
        <v>941</v>
      </c>
      <c r="G11" s="27" t="s">
        <v>1273</v>
      </c>
    </row>
    <row r="12" customFormat="false" ht="27.75" hidden="false" customHeight="true" outlineLevel="0" collapsed="false">
      <c r="A12" s="59" t="s">
        <v>960</v>
      </c>
      <c r="B12" s="59" t="s">
        <v>1274</v>
      </c>
      <c r="C12" s="59" t="s">
        <v>1275</v>
      </c>
      <c r="D12" s="59" t="s">
        <v>1276</v>
      </c>
      <c r="E12" s="59" t="s">
        <v>1277</v>
      </c>
      <c r="F12" s="59" t="s">
        <v>502</v>
      </c>
      <c r="G12" s="59" t="s">
        <v>1248</v>
      </c>
    </row>
    <row r="13" customFormat="false" ht="27.75" hidden="false" customHeight="true" outlineLevel="0" collapsed="false">
      <c r="A13" s="27" t="s">
        <v>1278</v>
      </c>
      <c r="B13" s="27" t="s">
        <v>1279</v>
      </c>
      <c r="C13" s="27" t="s">
        <v>1280</v>
      </c>
      <c r="D13" s="27" t="s">
        <v>1281</v>
      </c>
      <c r="E13" s="27" t="s">
        <v>1282</v>
      </c>
      <c r="F13" s="27" t="s">
        <v>841</v>
      </c>
      <c r="G13" s="27" t="s">
        <v>1248</v>
      </c>
    </row>
    <row r="14" customFormat="false" ht="27.75" hidden="false" customHeight="true" outlineLevel="0" collapsed="false">
      <c r="A14" s="59" t="s">
        <v>1283</v>
      </c>
      <c r="B14" s="59" t="s">
        <v>1284</v>
      </c>
      <c r="C14" s="59" t="s">
        <v>1285</v>
      </c>
      <c r="D14" s="59" t="s">
        <v>1286</v>
      </c>
      <c r="E14" s="59" t="s">
        <v>1287</v>
      </c>
      <c r="F14" s="59" t="s">
        <v>100</v>
      </c>
      <c r="G14" s="59" t="s">
        <v>1288</v>
      </c>
    </row>
    <row r="15" customFormat="false" ht="27.75" hidden="false" customHeight="true" outlineLevel="0" collapsed="false">
      <c r="A15" s="27" t="s">
        <v>1289</v>
      </c>
      <c r="B15" s="27" t="s">
        <v>1290</v>
      </c>
      <c r="C15" s="27" t="s">
        <v>1291</v>
      </c>
      <c r="D15" s="27" t="s">
        <v>1292</v>
      </c>
      <c r="E15" s="27" t="s">
        <v>1293</v>
      </c>
      <c r="F15" s="27" t="s">
        <v>100</v>
      </c>
      <c r="G15" s="27" t="s">
        <v>1294</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1295</v>
      </c>
      <c r="B2" s="3"/>
      <c r="C2" s="3"/>
      <c r="D2" s="3"/>
    </row>
    <row r="4" customFormat="false" ht="15" hidden="false" customHeight="true" outlineLevel="0" collapsed="false">
      <c r="A4" s="58" t="s">
        <v>110</v>
      </c>
      <c r="B4" s="58" t="s">
        <v>1296</v>
      </c>
      <c r="C4" s="58" t="s">
        <v>1297</v>
      </c>
      <c r="D4" s="58" t="s">
        <v>829</v>
      </c>
    </row>
    <row r="5" customFormat="false" ht="27.75" hidden="false" customHeight="true" outlineLevel="0" collapsed="false">
      <c r="A5" s="27" t="s">
        <v>1298</v>
      </c>
      <c r="B5" s="27" t="s">
        <v>1299</v>
      </c>
      <c r="C5" s="27" t="s">
        <v>1049</v>
      </c>
      <c r="D5" s="27" t="s">
        <v>100</v>
      </c>
    </row>
    <row r="6" customFormat="false" ht="27.75" hidden="false" customHeight="true" outlineLevel="0" collapsed="false">
      <c r="A6" s="59" t="s">
        <v>1300</v>
      </c>
      <c r="B6" s="59" t="s">
        <v>1301</v>
      </c>
      <c r="C6" s="59" t="s">
        <v>1302</v>
      </c>
      <c r="D6" s="59" t="s">
        <v>841</v>
      </c>
    </row>
    <row r="7" customFormat="false" ht="27.75" hidden="false" customHeight="true" outlineLevel="0" collapsed="false">
      <c r="A7" s="27" t="s">
        <v>1303</v>
      </c>
      <c r="B7" s="27" t="s">
        <v>1304</v>
      </c>
      <c r="C7" s="27" t="s">
        <v>1057</v>
      </c>
      <c r="D7" s="27" t="s">
        <v>841</v>
      </c>
    </row>
    <row r="8" customFormat="false" ht="27.75" hidden="false" customHeight="true" outlineLevel="0" collapsed="false">
      <c r="A8" s="59" t="s">
        <v>1305</v>
      </c>
      <c r="B8" s="59" t="s">
        <v>1306</v>
      </c>
      <c r="C8" s="59" t="s">
        <v>1053</v>
      </c>
      <c r="D8" s="59" t="s">
        <v>502</v>
      </c>
    </row>
    <row r="9" customFormat="false" ht="27.75" hidden="false" customHeight="true" outlineLevel="0" collapsed="false">
      <c r="A9" s="27" t="s">
        <v>1307</v>
      </c>
      <c r="B9" s="27" t="s">
        <v>1308</v>
      </c>
      <c r="C9" s="27" t="s">
        <v>1049</v>
      </c>
      <c r="D9" s="27" t="s">
        <v>100</v>
      </c>
    </row>
    <row r="10" customFormat="false" ht="27.75" hidden="false" customHeight="true" outlineLevel="0" collapsed="false">
      <c r="A10" s="59" t="s">
        <v>1309</v>
      </c>
      <c r="B10" s="59" t="s">
        <v>1310</v>
      </c>
      <c r="C10" s="59" t="s">
        <v>1057</v>
      </c>
      <c r="D10" s="59" t="s">
        <v>502</v>
      </c>
    </row>
    <row r="11" customFormat="false" ht="27.75" hidden="false" customHeight="true" outlineLevel="0" collapsed="false">
      <c r="A11" s="27" t="s">
        <v>1311</v>
      </c>
      <c r="B11" s="27" t="s">
        <v>1312</v>
      </c>
      <c r="C11" s="27" t="s">
        <v>1065</v>
      </c>
      <c r="D11" s="27" t="s">
        <v>100</v>
      </c>
    </row>
    <row r="12" customFormat="false" ht="27.75" hidden="false" customHeight="true" outlineLevel="0" collapsed="false">
      <c r="A12" s="59" t="s">
        <v>1313</v>
      </c>
      <c r="B12" s="59" t="s">
        <v>1314</v>
      </c>
      <c r="C12" s="59" t="s">
        <v>1068</v>
      </c>
      <c r="D12" s="59" t="s">
        <v>100</v>
      </c>
    </row>
    <row r="13" customFormat="false" ht="27.75" hidden="false" customHeight="true" outlineLevel="0" collapsed="false">
      <c r="A13" s="27" t="s">
        <v>1315</v>
      </c>
      <c r="B13" s="27" t="s">
        <v>1316</v>
      </c>
      <c r="C13" s="27" t="s">
        <v>1068</v>
      </c>
      <c r="D13" s="27" t="s">
        <v>996</v>
      </c>
    </row>
    <row r="14" customFormat="false" ht="27.75" hidden="false" customHeight="true" outlineLevel="0" collapsed="false">
      <c r="A14" s="59" t="s">
        <v>1317</v>
      </c>
      <c r="B14" s="59" t="s">
        <v>1318</v>
      </c>
      <c r="C14" s="59" t="s">
        <v>1319</v>
      </c>
      <c r="D14" s="59" t="s">
        <v>502</v>
      </c>
    </row>
    <row r="15" customFormat="false" ht="27.75" hidden="false" customHeight="true" outlineLevel="0" collapsed="false">
      <c r="A15" s="27" t="s">
        <v>1320</v>
      </c>
      <c r="B15" s="27" t="s">
        <v>1321</v>
      </c>
      <c r="C15" s="27" t="s">
        <v>1053</v>
      </c>
      <c r="D15" s="27" t="s">
        <v>100</v>
      </c>
    </row>
    <row r="16" customFormat="false" ht="27.75" hidden="false" customHeight="true" outlineLevel="0" collapsed="false">
      <c r="A16" s="59" t="s">
        <v>1322</v>
      </c>
      <c r="B16" s="59" t="str">
        <f aca="false">"Premium at $"&amp;TEXT(Assumptions!B69,"0.00")&amp;". Launch discount no deeper than the realized-price factor on Assumptions."</f>
        <v>Premium at $19.99. Launch discount no deeper than the realized-price factor on Assumptions.</v>
      </c>
      <c r="C16" s="59" t="s">
        <v>1061</v>
      </c>
      <c r="D16" s="59" t="s">
        <v>100</v>
      </c>
    </row>
    <row r="17" customFormat="false" ht="27.75" hidden="false" customHeight="true" outlineLevel="0" collapsed="false">
      <c r="A17" s="27" t="s">
        <v>1323</v>
      </c>
      <c r="B17" s="27" t="s">
        <v>1324</v>
      </c>
      <c r="C17" s="27" t="s">
        <v>1053</v>
      </c>
      <c r="D17" s="27" t="s">
        <v>100</v>
      </c>
    </row>
    <row r="18" customFormat="false" ht="27.75" hidden="false" customHeight="true" outlineLevel="0" collapsed="false">
      <c r="A18" s="59" t="s">
        <v>1043</v>
      </c>
      <c r="B18" s="59" t="s">
        <v>1325</v>
      </c>
      <c r="C18" s="59" t="s">
        <v>1061</v>
      </c>
      <c r="D18" s="59" t="s">
        <v>100</v>
      </c>
    </row>
    <row r="19" customFormat="false" ht="27.75" hidden="false" customHeight="true" outlineLevel="0" collapsed="false">
      <c r="A19" s="27" t="s">
        <v>1326</v>
      </c>
      <c r="B19" s="27" t="s">
        <v>1327</v>
      </c>
      <c r="C19" s="27" t="s">
        <v>1065</v>
      </c>
      <c r="D19" s="27" t="s">
        <v>841</v>
      </c>
    </row>
    <row r="20" customFormat="false" ht="27.75" hidden="false" customHeight="true" outlineLevel="0" collapsed="false">
      <c r="A20" s="59" t="s">
        <v>1328</v>
      </c>
      <c r="B20" s="59" t="s">
        <v>1329</v>
      </c>
      <c r="C20" s="59" t="s">
        <v>1065</v>
      </c>
      <c r="D20" s="59" t="s">
        <v>100</v>
      </c>
    </row>
    <row r="21" customFormat="false" ht="27.75" hidden="false" customHeight="true" outlineLevel="0" collapsed="false">
      <c r="A21" s="27" t="s">
        <v>1330</v>
      </c>
      <c r="B21" s="27" t="s">
        <v>1331</v>
      </c>
      <c r="C21" s="27" t="s">
        <v>1065</v>
      </c>
      <c r="D21" s="27" t="s">
        <v>502</v>
      </c>
    </row>
    <row r="22" customFormat="false" ht="27.75" hidden="false" customHeight="true" outlineLevel="0" collapsed="false">
      <c r="A22" s="59" t="s">
        <v>1332</v>
      </c>
      <c r="B22" s="59" t="s">
        <v>1333</v>
      </c>
      <c r="C22" s="59" t="s">
        <v>1068</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52"/>
    <col collapsed="false" customWidth="true" hidden="false" outlineLevel="0" max="4" min="4" style="0" width="11"/>
    <col collapsed="false" customWidth="true" hidden="false" outlineLevel="0" max="5" min="5" style="0" width="48"/>
    <col collapsed="false" customWidth="true" hidden="false" outlineLevel="0" max="6" min="6" style="0" width="30"/>
    <col collapsed="false" customWidth="true" hidden="false" outlineLevel="0" max="7" min="7" style="0" width="28"/>
    <col collapsed="false" customWidth="true" hidden="false" outlineLevel="0" max="8" min="8" style="0" width="12"/>
  </cols>
  <sheetData>
    <row r="1" customFormat="false" ht="26.8" hidden="false" customHeight="false" outlineLevel="0" collapsed="false">
      <c r="A1" s="102" t="s">
        <v>0</v>
      </c>
    </row>
    <row r="2" customFormat="false" ht="15" hidden="false" customHeight="false" outlineLevel="0" collapsed="false">
      <c r="A2" s="103" t="s">
        <v>1334</v>
      </c>
    </row>
    <row r="3" customFormat="false" ht="31.5" hidden="false" customHeight="true" outlineLevel="0" collapsed="false">
      <c r="A3" s="104" t="s">
        <v>1335</v>
      </c>
      <c r="B3" s="104"/>
      <c r="C3" s="104"/>
      <c r="D3" s="104"/>
      <c r="E3" s="104"/>
      <c r="F3" s="104"/>
      <c r="G3" s="104"/>
      <c r="H3" s="104"/>
    </row>
    <row r="5" customFormat="false" ht="26.85" hidden="false" customHeight="false" outlineLevel="0" collapsed="false">
      <c r="A5" s="58" t="s">
        <v>493</v>
      </c>
      <c r="B5" s="58" t="s">
        <v>1045</v>
      </c>
      <c r="C5" s="58" t="s">
        <v>1336</v>
      </c>
      <c r="D5" s="58" t="s">
        <v>1337</v>
      </c>
      <c r="E5" s="58" t="s">
        <v>41</v>
      </c>
      <c r="F5" s="58" t="s">
        <v>1338</v>
      </c>
      <c r="G5" s="58" t="s">
        <v>1339</v>
      </c>
      <c r="H5" s="58" t="s">
        <v>582</v>
      </c>
    </row>
    <row r="6" customFormat="false" ht="23.85" hidden="false" customHeight="false" outlineLevel="0" collapsed="false">
      <c r="A6" s="105" t="s">
        <v>1340</v>
      </c>
      <c r="B6" s="105" t="s">
        <v>1053</v>
      </c>
      <c r="C6" s="105" t="s">
        <v>1341</v>
      </c>
      <c r="D6" s="105" t="s">
        <v>1342</v>
      </c>
      <c r="E6" s="105" t="s">
        <v>1343</v>
      </c>
      <c r="F6" s="105" t="s">
        <v>1344</v>
      </c>
      <c r="G6" s="105" t="s">
        <v>1345</v>
      </c>
      <c r="H6" s="105" t="s">
        <v>605</v>
      </c>
    </row>
    <row r="7" customFormat="false" ht="23.85" hidden="false" customHeight="false" outlineLevel="0" collapsed="false">
      <c r="A7" s="105" t="s">
        <v>1346</v>
      </c>
      <c r="B7" s="105" t="s">
        <v>1053</v>
      </c>
      <c r="C7" s="105" t="s">
        <v>1347</v>
      </c>
      <c r="D7" s="105" t="s">
        <v>1342</v>
      </c>
      <c r="E7" s="105" t="s">
        <v>1348</v>
      </c>
      <c r="F7" s="105" t="s">
        <v>1344</v>
      </c>
      <c r="G7" s="105" t="s">
        <v>1345</v>
      </c>
      <c r="H7" s="105" t="s">
        <v>609</v>
      </c>
    </row>
    <row r="8" customFormat="false" ht="15" hidden="false" customHeight="false" outlineLevel="0" collapsed="false">
      <c r="A8" s="105" t="s">
        <v>1349</v>
      </c>
      <c r="B8" s="105" t="s">
        <v>1053</v>
      </c>
      <c r="C8" s="105" t="s">
        <v>1350</v>
      </c>
      <c r="D8" s="105" t="s">
        <v>1342</v>
      </c>
      <c r="E8" s="105" t="s">
        <v>1351</v>
      </c>
      <c r="F8" s="105" t="s">
        <v>1344</v>
      </c>
      <c r="G8" s="105" t="s">
        <v>1345</v>
      </c>
      <c r="H8" s="105" t="s">
        <v>725</v>
      </c>
    </row>
    <row r="9" customFormat="false" ht="23.85" hidden="false" customHeight="false" outlineLevel="0" collapsed="false">
      <c r="A9" s="105" t="s">
        <v>1352</v>
      </c>
      <c r="B9" s="105" t="s">
        <v>1053</v>
      </c>
      <c r="C9" s="105" t="s">
        <v>1353</v>
      </c>
      <c r="D9" s="105" t="s">
        <v>1342</v>
      </c>
      <c r="E9" s="105" t="s">
        <v>1354</v>
      </c>
      <c r="F9" s="105" t="s">
        <v>1344</v>
      </c>
      <c r="G9" s="105" t="s">
        <v>1345</v>
      </c>
      <c r="H9" s="105" t="s">
        <v>1355</v>
      </c>
    </row>
    <row r="10" customFormat="false" ht="23.85" hidden="false" customHeight="false" outlineLevel="0" collapsed="false">
      <c r="A10" s="105" t="s">
        <v>1356</v>
      </c>
      <c r="B10" s="105" t="s">
        <v>1053</v>
      </c>
      <c r="C10" s="105" t="s">
        <v>1357</v>
      </c>
      <c r="D10" s="105" t="s">
        <v>1342</v>
      </c>
      <c r="E10" s="105" t="s">
        <v>1358</v>
      </c>
      <c r="F10" s="105" t="s">
        <v>1344</v>
      </c>
      <c r="G10" s="105" t="s">
        <v>1345</v>
      </c>
      <c r="H10" s="105" t="s">
        <v>1004</v>
      </c>
    </row>
    <row r="11" customFormat="false" ht="23.85" hidden="false" customHeight="false" outlineLevel="0" collapsed="false">
      <c r="A11" s="105" t="s">
        <v>1359</v>
      </c>
      <c r="B11" s="105" t="s">
        <v>1053</v>
      </c>
      <c r="C11" s="105" t="s">
        <v>1360</v>
      </c>
      <c r="D11" s="105" t="s">
        <v>1361</v>
      </c>
      <c r="E11" s="105" t="s">
        <v>1362</v>
      </c>
      <c r="F11" s="105" t="s">
        <v>1363</v>
      </c>
      <c r="G11" s="105"/>
      <c r="H11" s="105" t="s">
        <v>869</v>
      </c>
    </row>
    <row r="12" customFormat="false" ht="23.85" hidden="false" customHeight="false" outlineLevel="0" collapsed="false">
      <c r="A12" s="105" t="s">
        <v>1364</v>
      </c>
      <c r="B12" s="105" t="s">
        <v>1053</v>
      </c>
      <c r="C12" s="105" t="s">
        <v>1365</v>
      </c>
      <c r="D12" s="105" t="s">
        <v>1361</v>
      </c>
      <c r="E12" s="105" t="s">
        <v>1366</v>
      </c>
      <c r="F12" s="105" t="s">
        <v>1367</v>
      </c>
      <c r="G12" s="105"/>
      <c r="H12" s="105" t="s">
        <v>890</v>
      </c>
    </row>
    <row r="13" customFormat="false" ht="23.85" hidden="false" customHeight="false" outlineLevel="0" collapsed="false">
      <c r="A13" s="105" t="s">
        <v>1368</v>
      </c>
      <c r="B13" s="105" t="s">
        <v>1057</v>
      </c>
      <c r="C13" s="105" t="s">
        <v>1369</v>
      </c>
      <c r="D13" s="105" t="s">
        <v>1342</v>
      </c>
      <c r="E13" s="105" t="s">
        <v>1370</v>
      </c>
      <c r="F13" s="105" t="s">
        <v>1344</v>
      </c>
      <c r="G13" s="105" t="s">
        <v>1345</v>
      </c>
      <c r="H13" s="105" t="s">
        <v>1371</v>
      </c>
    </row>
    <row r="14" customFormat="false" ht="23.85" hidden="false" customHeight="false" outlineLevel="0" collapsed="false">
      <c r="A14" s="105" t="s">
        <v>1372</v>
      </c>
      <c r="B14" s="105" t="s">
        <v>1057</v>
      </c>
      <c r="C14" s="105" t="s">
        <v>1373</v>
      </c>
      <c r="D14" s="105" t="s">
        <v>1342</v>
      </c>
      <c r="E14" s="105" t="s">
        <v>1374</v>
      </c>
      <c r="F14" s="105" t="s">
        <v>1344</v>
      </c>
      <c r="G14" s="105" t="s">
        <v>1345</v>
      </c>
      <c r="H14" s="105" t="s">
        <v>1375</v>
      </c>
    </row>
    <row r="15" customFormat="false" ht="15" hidden="false" customHeight="false" outlineLevel="0" collapsed="false">
      <c r="A15" s="105" t="s">
        <v>1376</v>
      </c>
      <c r="B15" s="105" t="s">
        <v>1057</v>
      </c>
      <c r="C15" s="105" t="s">
        <v>1377</v>
      </c>
      <c r="D15" s="105" t="s">
        <v>1342</v>
      </c>
      <c r="E15" s="105" t="s">
        <v>1378</v>
      </c>
      <c r="F15" s="105" t="s">
        <v>1344</v>
      </c>
      <c r="G15" s="105" t="s">
        <v>1345</v>
      </c>
      <c r="H15" s="105" t="s">
        <v>628</v>
      </c>
    </row>
    <row r="16" customFormat="false" ht="15" hidden="false" customHeight="false" outlineLevel="0" collapsed="false">
      <c r="A16" s="105" t="s">
        <v>1379</v>
      </c>
      <c r="B16" s="105" t="s">
        <v>1057</v>
      </c>
      <c r="C16" s="105" t="s">
        <v>1380</v>
      </c>
      <c r="D16" s="105" t="s">
        <v>1361</v>
      </c>
      <c r="E16" s="105" t="s">
        <v>1381</v>
      </c>
      <c r="F16" s="105" t="s">
        <v>1382</v>
      </c>
      <c r="G16" s="105"/>
      <c r="H16" s="105" t="s">
        <v>788</v>
      </c>
    </row>
    <row r="17" customFormat="false" ht="23.85" hidden="false" customHeight="false" outlineLevel="0" collapsed="false">
      <c r="A17" s="105" t="s">
        <v>1383</v>
      </c>
      <c r="B17" s="105" t="s">
        <v>1057</v>
      </c>
      <c r="C17" s="105" t="s">
        <v>1384</v>
      </c>
      <c r="D17" s="105" t="s">
        <v>1342</v>
      </c>
      <c r="E17" s="105" t="s">
        <v>1385</v>
      </c>
      <c r="F17" s="105" t="s">
        <v>1344</v>
      </c>
      <c r="G17" s="105" t="s">
        <v>1345</v>
      </c>
      <c r="H17" s="105" t="s">
        <v>943</v>
      </c>
    </row>
    <row r="18" customFormat="false" ht="15" hidden="false" customHeight="false" outlineLevel="0" collapsed="false">
      <c r="A18" s="105" t="s">
        <v>1386</v>
      </c>
      <c r="B18" s="105" t="s">
        <v>1057</v>
      </c>
      <c r="C18" s="105" t="s">
        <v>1387</v>
      </c>
      <c r="D18" s="105" t="s">
        <v>1342</v>
      </c>
      <c r="E18" s="105" t="s">
        <v>1388</v>
      </c>
      <c r="F18" s="105" t="s">
        <v>1344</v>
      </c>
      <c r="G18" s="105" t="s">
        <v>1345</v>
      </c>
      <c r="H18" s="105" t="s">
        <v>946</v>
      </c>
    </row>
    <row r="19" customFormat="false" ht="15" hidden="false" customHeight="false" outlineLevel="0" collapsed="false">
      <c r="A19" s="105" t="s">
        <v>1389</v>
      </c>
      <c r="B19" s="105" t="s">
        <v>1057</v>
      </c>
      <c r="C19" s="105" t="s">
        <v>1390</v>
      </c>
      <c r="D19" s="105" t="s">
        <v>1342</v>
      </c>
      <c r="E19" s="105" t="s">
        <v>1391</v>
      </c>
      <c r="F19" s="105" t="s">
        <v>1344</v>
      </c>
      <c r="G19" s="105" t="s">
        <v>1345</v>
      </c>
      <c r="H19" s="105" t="s">
        <v>1392</v>
      </c>
    </row>
    <row r="20" customFormat="false" ht="23.85" hidden="false" customHeight="false" outlineLevel="0" collapsed="false">
      <c r="A20" s="105" t="s">
        <v>1393</v>
      </c>
      <c r="B20" s="105" t="s">
        <v>1057</v>
      </c>
      <c r="C20" s="105" t="s">
        <v>1394</v>
      </c>
      <c r="D20" s="105" t="s">
        <v>1361</v>
      </c>
      <c r="E20" s="105" t="s">
        <v>1395</v>
      </c>
      <c r="F20" s="105" t="s">
        <v>1396</v>
      </c>
      <c r="G20" s="105"/>
      <c r="H20" s="105" t="s">
        <v>955</v>
      </c>
    </row>
    <row r="21" customFormat="false" ht="23.85" hidden="false" customHeight="false" outlineLevel="0" collapsed="false">
      <c r="A21" s="105" t="s">
        <v>1397</v>
      </c>
      <c r="B21" s="105" t="s">
        <v>1057</v>
      </c>
      <c r="C21" s="105" t="s">
        <v>1398</v>
      </c>
      <c r="D21" s="105" t="s">
        <v>1361</v>
      </c>
      <c r="E21" s="105" t="s">
        <v>1399</v>
      </c>
      <c r="F21" s="105" t="s">
        <v>1400</v>
      </c>
      <c r="G21" s="105"/>
      <c r="H21" s="105" t="s">
        <v>962</v>
      </c>
    </row>
    <row r="22" customFormat="false" ht="15" hidden="false" customHeight="false" outlineLevel="0" collapsed="false">
      <c r="A22" s="105" t="s">
        <v>1401</v>
      </c>
      <c r="B22" s="105" t="s">
        <v>1061</v>
      </c>
      <c r="C22" s="105" t="s">
        <v>1402</v>
      </c>
      <c r="D22" s="105" t="s">
        <v>1342</v>
      </c>
      <c r="E22" s="105" t="s">
        <v>1403</v>
      </c>
      <c r="F22" s="105" t="s">
        <v>1344</v>
      </c>
      <c r="G22" s="105" t="s">
        <v>1345</v>
      </c>
      <c r="H22" s="105" t="s">
        <v>985</v>
      </c>
    </row>
    <row r="23" customFormat="false" ht="23.85" hidden="false" customHeight="false" outlineLevel="0" collapsed="false">
      <c r="A23" s="105" t="s">
        <v>1404</v>
      </c>
      <c r="B23" s="105" t="s">
        <v>1061</v>
      </c>
      <c r="C23" s="105" t="s">
        <v>1405</v>
      </c>
      <c r="D23" s="105" t="s">
        <v>1342</v>
      </c>
      <c r="E23" s="105" t="s">
        <v>1406</v>
      </c>
      <c r="F23" s="105" t="s">
        <v>1344</v>
      </c>
      <c r="G23" s="105" t="s">
        <v>1345</v>
      </c>
      <c r="H23" s="105" t="s">
        <v>998</v>
      </c>
    </row>
    <row r="24" customFormat="false" ht="23.85" hidden="false" customHeight="false" outlineLevel="0" collapsed="false">
      <c r="A24" s="105" t="s">
        <v>1407</v>
      </c>
      <c r="B24" s="105" t="s">
        <v>1061</v>
      </c>
      <c r="C24" s="105" t="s">
        <v>1408</v>
      </c>
      <c r="D24" s="105" t="s">
        <v>1342</v>
      </c>
      <c r="E24" s="105" t="s">
        <v>1409</v>
      </c>
      <c r="F24" s="105" t="s">
        <v>1344</v>
      </c>
      <c r="G24" s="105" t="s">
        <v>1345</v>
      </c>
      <c r="H24" s="105" t="s">
        <v>991</v>
      </c>
    </row>
    <row r="25" customFormat="false" ht="23.85" hidden="false" customHeight="false" outlineLevel="0" collapsed="false">
      <c r="A25" s="105" t="s">
        <v>1410</v>
      </c>
      <c r="B25" s="105" t="s">
        <v>1061</v>
      </c>
      <c r="C25" s="105" t="s">
        <v>1411</v>
      </c>
      <c r="D25" s="105" t="s">
        <v>1342</v>
      </c>
      <c r="E25" s="105" t="s">
        <v>1412</v>
      </c>
      <c r="F25" s="105" t="s">
        <v>1344</v>
      </c>
      <c r="G25" s="105" t="s">
        <v>1345</v>
      </c>
      <c r="H25" s="105" t="s">
        <v>1413</v>
      </c>
    </row>
    <row r="26" customFormat="false" ht="23.85" hidden="false" customHeight="false" outlineLevel="0" collapsed="false">
      <c r="A26" s="105" t="s">
        <v>1414</v>
      </c>
      <c r="B26" s="105" t="s">
        <v>1061</v>
      </c>
      <c r="C26" s="105" t="s">
        <v>1415</v>
      </c>
      <c r="D26" s="105" t="s">
        <v>1361</v>
      </c>
      <c r="E26" s="105" t="s">
        <v>1416</v>
      </c>
      <c r="F26" s="105" t="s">
        <v>1417</v>
      </c>
      <c r="G26" s="105"/>
      <c r="H26" s="105" t="s">
        <v>985</v>
      </c>
    </row>
    <row r="27" customFormat="false" ht="23.85" hidden="false" customHeight="false" outlineLevel="0" collapsed="false">
      <c r="A27" s="105" t="s">
        <v>1418</v>
      </c>
      <c r="B27" s="105" t="s">
        <v>1061</v>
      </c>
      <c r="C27" s="105" t="s">
        <v>1419</v>
      </c>
      <c r="D27" s="105" t="s">
        <v>1361</v>
      </c>
      <c r="E27" s="105" t="s">
        <v>1420</v>
      </c>
      <c r="F27" s="105" t="s">
        <v>1421</v>
      </c>
      <c r="G27" s="105"/>
      <c r="H27" s="105" t="s">
        <v>988</v>
      </c>
    </row>
    <row r="28" customFormat="false" ht="15" hidden="false" customHeight="false" outlineLevel="0" collapsed="false">
      <c r="A28" s="105" t="s">
        <v>1422</v>
      </c>
      <c r="B28" s="105" t="s">
        <v>1065</v>
      </c>
      <c r="C28" s="105" t="s">
        <v>1423</v>
      </c>
      <c r="D28" s="105" t="s">
        <v>1361</v>
      </c>
      <c r="E28" s="105" t="s">
        <v>1001</v>
      </c>
      <c r="F28" s="105" t="s">
        <v>1382</v>
      </c>
      <c r="G28" s="105"/>
      <c r="H28" s="105" t="s">
        <v>1001</v>
      </c>
    </row>
    <row r="29" customFormat="false" ht="23.85" hidden="false" customHeight="false" outlineLevel="0" collapsed="false">
      <c r="A29" s="105" t="s">
        <v>1424</v>
      </c>
      <c r="B29" s="105" t="s">
        <v>1065</v>
      </c>
      <c r="C29" s="105" t="s">
        <v>1425</v>
      </c>
      <c r="D29" s="105" t="s">
        <v>1361</v>
      </c>
      <c r="E29" s="105" t="s">
        <v>1426</v>
      </c>
      <c r="F29" s="105" t="s">
        <v>1427</v>
      </c>
      <c r="G29" s="105"/>
      <c r="H29" s="105" t="s">
        <v>1428</v>
      </c>
    </row>
    <row r="30" customFormat="false" ht="15" hidden="false" customHeight="false" outlineLevel="0" collapsed="false">
      <c r="A30" s="105" t="s">
        <v>1429</v>
      </c>
      <c r="B30" s="105" t="s">
        <v>1065</v>
      </c>
      <c r="C30" s="105" t="s">
        <v>1430</v>
      </c>
      <c r="D30" s="105" t="s">
        <v>1361</v>
      </c>
      <c r="E30" s="105" t="s">
        <v>1431</v>
      </c>
      <c r="F30" s="105" t="s">
        <v>1417</v>
      </c>
      <c r="G30" s="105"/>
      <c r="H30" s="105" t="s">
        <v>994</v>
      </c>
    </row>
    <row r="31" customFormat="false" ht="15" hidden="false" customHeight="false" outlineLevel="0" collapsed="false">
      <c r="A31" s="105" t="s">
        <v>1432</v>
      </c>
      <c r="B31" s="105" t="s">
        <v>1068</v>
      </c>
      <c r="C31" s="105" t="s">
        <v>1433</v>
      </c>
      <c r="D31" s="105" t="s">
        <v>1342</v>
      </c>
      <c r="E31" s="105" t="s">
        <v>1434</v>
      </c>
      <c r="F31" s="105" t="s">
        <v>1344</v>
      </c>
      <c r="G31" s="105" t="s">
        <v>1345</v>
      </c>
      <c r="H31" s="105" t="s">
        <v>1011</v>
      </c>
    </row>
    <row r="32" customFormat="false" ht="15" hidden="false" customHeight="false" outlineLevel="0" collapsed="false">
      <c r="A32" s="105" t="s">
        <v>1435</v>
      </c>
      <c r="B32" s="105" t="s">
        <v>1068</v>
      </c>
      <c r="C32" s="105" t="s">
        <v>1436</v>
      </c>
      <c r="D32" s="105" t="s">
        <v>1361</v>
      </c>
      <c r="E32" s="105" t="s">
        <v>1155</v>
      </c>
      <c r="F32" s="105" t="s">
        <v>849</v>
      </c>
      <c r="G32" s="105"/>
      <c r="H32" s="105" t="s">
        <v>1017</v>
      </c>
    </row>
  </sheetData>
  <mergeCells count="1">
    <mergeCell ref="A3:H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8"/>
    <col collapsed="false" customWidth="true" hidden="false" outlineLevel="0" max="3" min="3" style="1" width="7"/>
    <col collapsed="false" customWidth="true" hidden="false" outlineLevel="0" max="4" min="4" style="1" width="11"/>
    <col collapsed="false" customWidth="true" hidden="false" outlineLevel="0" max="5" min="5" style="1" width="12"/>
    <col collapsed="false" customWidth="true" hidden="false" outlineLevel="0" max="6" min="6" style="1" width="48"/>
    <col collapsed="false" customWidth="true" hidden="false" outlineLevel="0" max="7" min="7" style="1" width="14"/>
    <col collapsed="false" customWidth="true" hidden="false" outlineLevel="0" max="8" min="8" style="1" width="15"/>
    <col collapsed="false" customWidth="true" hidden="false" outlineLevel="0" max="9" min="9" style="1" width="18"/>
  </cols>
  <sheetData>
    <row r="1" customFormat="false" ht="26.25" hidden="false" customHeight="true" outlineLevel="0" collapsed="false">
      <c r="A1" s="102" t="s">
        <v>0</v>
      </c>
    </row>
    <row r="2" customFormat="false" ht="15" hidden="false" customHeight="true" outlineLevel="0" collapsed="false">
      <c r="A2" s="103" t="s">
        <v>1437</v>
      </c>
    </row>
    <row r="3" customFormat="false" ht="31.5" hidden="false" customHeight="true" outlineLevel="0" collapsed="false">
      <c r="A3" s="104" t="s">
        <v>1438</v>
      </c>
      <c r="B3" s="104"/>
      <c r="C3" s="104"/>
      <c r="D3" s="104"/>
      <c r="E3" s="104"/>
      <c r="F3" s="104"/>
      <c r="G3" s="104"/>
      <c r="H3" s="104"/>
      <c r="I3" s="104"/>
    </row>
    <row r="5" customFormat="false" ht="26.25" hidden="false" customHeight="true" outlineLevel="0" collapsed="false">
      <c r="A5" s="58" t="s">
        <v>1439</v>
      </c>
      <c r="B5" s="58" t="s">
        <v>552</v>
      </c>
      <c r="C5" s="58" t="s">
        <v>1440</v>
      </c>
      <c r="D5" s="58" t="s">
        <v>1441</v>
      </c>
      <c r="E5" s="58" t="s">
        <v>1442</v>
      </c>
      <c r="F5" s="58" t="s">
        <v>1443</v>
      </c>
      <c r="G5" s="58" t="s">
        <v>1444</v>
      </c>
      <c r="H5" s="58" t="s">
        <v>1445</v>
      </c>
      <c r="I5" s="58" t="s">
        <v>1446</v>
      </c>
    </row>
    <row r="6" customFormat="false" ht="15" hidden="false" customHeight="true" outlineLevel="0" collapsed="false">
      <c r="A6" s="59" t="s">
        <v>1447</v>
      </c>
      <c r="B6" s="59" t="s">
        <v>562</v>
      </c>
      <c r="C6" s="59" t="n">
        <v>20</v>
      </c>
      <c r="D6" s="106" t="n">
        <v>1</v>
      </c>
      <c r="E6" s="106" t="n">
        <v>0</v>
      </c>
      <c r="F6" s="59" t="s">
        <v>607</v>
      </c>
      <c r="G6" s="59" t="n">
        <v>346</v>
      </c>
      <c r="H6" s="59" t="n">
        <v>0.5</v>
      </c>
      <c r="I6" s="59" t="n">
        <v>34</v>
      </c>
    </row>
    <row r="7" customFormat="false" ht="15" hidden="false" customHeight="true" outlineLevel="0" collapsed="false">
      <c r="A7" s="59" t="s">
        <v>1447</v>
      </c>
      <c r="B7" s="59" t="s">
        <v>557</v>
      </c>
      <c r="C7" s="59" t="n">
        <v>20</v>
      </c>
      <c r="D7" s="106" t="n">
        <v>1</v>
      </c>
      <c r="E7" s="106" t="n">
        <v>0</v>
      </c>
      <c r="F7" s="59" t="s">
        <v>607</v>
      </c>
      <c r="G7" s="59" t="n">
        <v>344</v>
      </c>
      <c r="H7" s="59" t="n">
        <v>0.3</v>
      </c>
      <c r="I7" s="59" t="n">
        <v>34</v>
      </c>
    </row>
    <row r="8" customFormat="false" ht="15" hidden="false" customHeight="true" outlineLevel="0" collapsed="false">
      <c r="A8" s="59" t="s">
        <v>1447</v>
      </c>
      <c r="B8" s="59" t="s">
        <v>567</v>
      </c>
      <c r="C8" s="59" t="n">
        <v>20</v>
      </c>
      <c r="D8" s="106" t="n">
        <v>1</v>
      </c>
      <c r="E8" s="106" t="n">
        <v>0</v>
      </c>
      <c r="F8" s="59" t="s">
        <v>607</v>
      </c>
      <c r="G8" s="59" t="n">
        <v>352</v>
      </c>
      <c r="H8" s="59" t="n">
        <v>0.5</v>
      </c>
      <c r="I8" s="59" t="n">
        <v>34</v>
      </c>
    </row>
    <row r="9" customFormat="false" ht="15" hidden="false" customHeight="true" outlineLevel="0" collapsed="false">
      <c r="A9" s="59" t="s">
        <v>1447</v>
      </c>
      <c r="B9" s="59" t="s">
        <v>572</v>
      </c>
      <c r="C9" s="59" t="n">
        <v>20</v>
      </c>
      <c r="D9" s="106" t="n">
        <v>1</v>
      </c>
      <c r="E9" s="106" t="n">
        <v>0</v>
      </c>
      <c r="F9" s="59" t="s">
        <v>607</v>
      </c>
      <c r="G9" s="59" t="n">
        <v>352</v>
      </c>
      <c r="H9" s="59" t="n">
        <v>0.4</v>
      </c>
      <c r="I9" s="59" t="n">
        <v>34</v>
      </c>
    </row>
    <row r="10" customFormat="false" ht="15" hidden="false" customHeight="true" outlineLevel="0" collapsed="false">
      <c r="A10" s="107" t="s">
        <v>1447</v>
      </c>
      <c r="B10" s="107" t="s">
        <v>1448</v>
      </c>
      <c r="C10" s="107" t="n">
        <v>80</v>
      </c>
      <c r="D10" s="108" t="n">
        <v>1</v>
      </c>
      <c r="E10" s="108" t="n">
        <v>0</v>
      </c>
      <c r="F10" s="107" t="s">
        <v>607</v>
      </c>
      <c r="G10" s="107" t="n">
        <v>349</v>
      </c>
      <c r="H10" s="107" t="n">
        <v>0.4</v>
      </c>
      <c r="I10" s="107" t="n">
        <v>34</v>
      </c>
    </row>
    <row r="11" customFormat="false" ht="15" hidden="false" customHeight="true" outlineLevel="0" collapsed="false">
      <c r="A11" s="59" t="s">
        <v>1449</v>
      </c>
      <c r="B11" s="59" t="s">
        <v>562</v>
      </c>
      <c r="C11" s="59" t="n">
        <v>20</v>
      </c>
      <c r="D11" s="106" t="n">
        <v>0.15</v>
      </c>
      <c r="E11" s="106" t="n">
        <v>0.8</v>
      </c>
      <c r="F11" s="59" t="s">
        <v>1450</v>
      </c>
      <c r="G11" s="59" t="n">
        <v>259</v>
      </c>
      <c r="H11" s="59" t="n">
        <v>5.1</v>
      </c>
      <c r="I11" s="59" t="n">
        <v>33.9</v>
      </c>
    </row>
    <row r="12" customFormat="false" ht="15" hidden="false" customHeight="true" outlineLevel="0" collapsed="false">
      <c r="A12" s="59" t="s">
        <v>1449</v>
      </c>
      <c r="B12" s="59" t="s">
        <v>557</v>
      </c>
      <c r="C12" s="59" t="n">
        <v>20</v>
      </c>
      <c r="D12" s="106" t="n">
        <v>0.25</v>
      </c>
      <c r="E12" s="106" t="n">
        <v>0.7</v>
      </c>
      <c r="F12" s="59" t="s">
        <v>1451</v>
      </c>
      <c r="G12" s="59" t="n">
        <v>237</v>
      </c>
      <c r="H12" s="59" t="n">
        <v>5.3</v>
      </c>
      <c r="I12" s="59" t="n">
        <v>33</v>
      </c>
    </row>
    <row r="13" customFormat="false" ht="15" hidden="false" customHeight="true" outlineLevel="0" collapsed="false">
      <c r="A13" s="59" t="s">
        <v>1449</v>
      </c>
      <c r="B13" s="59" t="s">
        <v>567</v>
      </c>
      <c r="C13" s="59" t="n">
        <v>20</v>
      </c>
      <c r="D13" s="106" t="n">
        <v>1</v>
      </c>
      <c r="E13" s="106" t="n">
        <v>0</v>
      </c>
      <c r="F13" s="59" t="s">
        <v>607</v>
      </c>
      <c r="G13" s="59" t="n">
        <v>299</v>
      </c>
      <c r="H13" s="59" t="n">
        <v>0.1</v>
      </c>
      <c r="I13" s="59" t="n">
        <v>34</v>
      </c>
    </row>
    <row r="14" customFormat="false" ht="15" hidden="false" customHeight="true" outlineLevel="0" collapsed="false">
      <c r="A14" s="59" t="s">
        <v>1449</v>
      </c>
      <c r="B14" s="59" t="s">
        <v>572</v>
      </c>
      <c r="C14" s="59" t="n">
        <v>20</v>
      </c>
      <c r="D14" s="106" t="n">
        <v>0.35</v>
      </c>
      <c r="E14" s="106" t="n">
        <v>0.6</v>
      </c>
      <c r="F14" s="59" t="s">
        <v>1451</v>
      </c>
      <c r="G14" s="59" t="n">
        <v>263</v>
      </c>
      <c r="H14" s="59" t="n">
        <v>4.8</v>
      </c>
      <c r="I14" s="59" t="n">
        <v>33</v>
      </c>
    </row>
    <row r="15" customFormat="false" ht="15" hidden="false" customHeight="true" outlineLevel="0" collapsed="false">
      <c r="A15" s="107" t="s">
        <v>1449</v>
      </c>
      <c r="B15" s="107" t="s">
        <v>1448</v>
      </c>
      <c r="C15" s="107" t="n">
        <v>80</v>
      </c>
      <c r="D15" s="108" t="n">
        <v>0.4375</v>
      </c>
      <c r="E15" s="108" t="n">
        <v>0.525</v>
      </c>
      <c r="F15" s="107" t="s">
        <v>1452</v>
      </c>
      <c r="G15" s="107" t="n">
        <v>265</v>
      </c>
      <c r="H15" s="107" t="n">
        <v>3.8</v>
      </c>
      <c r="I15" s="107" t="n">
        <v>33.5</v>
      </c>
    </row>
    <row r="16" customFormat="false" ht="15" hidden="false" customHeight="true" outlineLevel="0" collapsed="false">
      <c r="A16" s="59" t="s">
        <v>1453</v>
      </c>
      <c r="B16" s="59" t="s">
        <v>562</v>
      </c>
      <c r="C16" s="59" t="n">
        <v>20</v>
      </c>
      <c r="D16" s="106" t="n">
        <v>0</v>
      </c>
      <c r="E16" s="106" t="n">
        <v>0.7</v>
      </c>
      <c r="F16" s="59" t="s">
        <v>1454</v>
      </c>
      <c r="G16" s="59" t="n">
        <v>127</v>
      </c>
      <c r="H16" s="59" t="n">
        <v>8.9</v>
      </c>
      <c r="I16" s="59" t="n">
        <v>25.4</v>
      </c>
    </row>
    <row r="17" customFormat="false" ht="15" hidden="false" customHeight="true" outlineLevel="0" collapsed="false">
      <c r="A17" s="59" t="s">
        <v>1453</v>
      </c>
      <c r="B17" s="59" t="s">
        <v>557</v>
      </c>
      <c r="C17" s="59" t="n">
        <v>20</v>
      </c>
      <c r="D17" s="106" t="n">
        <v>0</v>
      </c>
      <c r="E17" s="106" t="n">
        <v>0.65</v>
      </c>
      <c r="F17" s="59" t="s">
        <v>1455</v>
      </c>
      <c r="G17" s="59" t="n">
        <v>119</v>
      </c>
      <c r="H17" s="59" t="n">
        <v>10.6</v>
      </c>
      <c r="I17" s="59" t="n">
        <v>25.4</v>
      </c>
    </row>
    <row r="18" customFormat="false" ht="15" hidden="false" customHeight="true" outlineLevel="0" collapsed="false">
      <c r="A18" s="59" t="s">
        <v>1453</v>
      </c>
      <c r="B18" s="59" t="s">
        <v>567</v>
      </c>
      <c r="C18" s="59" t="n">
        <v>20</v>
      </c>
      <c r="D18" s="106" t="n">
        <v>0</v>
      </c>
      <c r="E18" s="106" t="n">
        <v>0.85</v>
      </c>
      <c r="F18" s="59" t="s">
        <v>1456</v>
      </c>
      <c r="G18" s="59" t="n">
        <v>161</v>
      </c>
      <c r="H18" s="59" t="n">
        <v>9.7</v>
      </c>
      <c r="I18" s="59" t="n">
        <v>32.2</v>
      </c>
    </row>
    <row r="19" customFormat="false" ht="15" hidden="false" customHeight="true" outlineLevel="0" collapsed="false">
      <c r="A19" s="59" t="s">
        <v>1453</v>
      </c>
      <c r="B19" s="59" t="s">
        <v>572</v>
      </c>
      <c r="C19" s="59" t="n">
        <v>20</v>
      </c>
      <c r="D19" s="106" t="n">
        <v>0</v>
      </c>
      <c r="E19" s="106" t="n">
        <v>0.6</v>
      </c>
      <c r="F19" s="59" t="s">
        <v>1457</v>
      </c>
      <c r="G19" s="59" t="n">
        <v>108</v>
      </c>
      <c r="H19" s="59" t="n">
        <v>10.2</v>
      </c>
      <c r="I19" s="59" t="n">
        <v>21.4</v>
      </c>
    </row>
    <row r="20" customFormat="false" ht="27.75" hidden="false" customHeight="true" outlineLevel="0" collapsed="false">
      <c r="A20" s="107" t="s">
        <v>1453</v>
      </c>
      <c r="B20" s="107" t="s">
        <v>1448</v>
      </c>
      <c r="C20" s="107" t="n">
        <v>80</v>
      </c>
      <c r="D20" s="108" t="n">
        <v>0</v>
      </c>
      <c r="E20" s="108" t="n">
        <v>0.7</v>
      </c>
      <c r="F20" s="107" t="s">
        <v>1458</v>
      </c>
      <c r="G20" s="107" t="n">
        <v>129</v>
      </c>
      <c r="H20" s="107" t="n">
        <v>9.8</v>
      </c>
      <c r="I20" s="107" t="n">
        <v>26.1</v>
      </c>
    </row>
    <row r="22" customFormat="false" ht="15" hidden="false" customHeight="true" outlineLevel="0" collapsed="false">
      <c r="A22" s="109" t="s">
        <v>1459</v>
      </c>
    </row>
    <row r="23" customFormat="false" ht="15" hidden="false" customHeight="true" outlineLevel="0" collapsed="false">
      <c r="A23" s="110" t="s">
        <v>1460</v>
      </c>
      <c r="B23" s="110"/>
      <c r="C23" s="110"/>
      <c r="D23" s="110"/>
      <c r="E23" s="110"/>
      <c r="F23" s="110"/>
      <c r="G23" s="110"/>
      <c r="H23" s="110"/>
      <c r="I23" s="110"/>
    </row>
    <row r="24" customFormat="false" ht="15" hidden="false" customHeight="true" outlineLevel="0" collapsed="false">
      <c r="A24" s="110" t="s">
        <v>1461</v>
      </c>
      <c r="B24" s="110"/>
      <c r="C24" s="110"/>
      <c r="D24" s="110"/>
      <c r="E24" s="110"/>
      <c r="F24" s="110"/>
      <c r="G24" s="110"/>
      <c r="H24" s="110"/>
      <c r="I24" s="110"/>
    </row>
    <row r="25" customFormat="false" ht="15" hidden="false" customHeight="true" outlineLevel="0" collapsed="false">
      <c r="A25" s="110" t="s">
        <v>1462</v>
      </c>
      <c r="B25" s="110"/>
      <c r="C25" s="110"/>
      <c r="D25" s="110"/>
      <c r="E25" s="110"/>
      <c r="F25" s="110"/>
      <c r="G25" s="110"/>
      <c r="H25" s="110"/>
      <c r="I25" s="110"/>
    </row>
    <row r="27" customFormat="false" ht="15" hidden="false" customHeight="true" outlineLevel="0" collapsed="false">
      <c r="A27" s="109" t="s">
        <v>1463</v>
      </c>
    </row>
    <row r="28" customFormat="false" ht="30" hidden="false" customHeight="true" outlineLevel="0" collapsed="false">
      <c r="A28" s="104" t="s">
        <v>1464</v>
      </c>
      <c r="B28" s="104"/>
      <c r="C28" s="104"/>
      <c r="D28" s="104"/>
      <c r="E28" s="104"/>
      <c r="F28" s="104"/>
      <c r="G28" s="104"/>
      <c r="H28" s="104"/>
      <c r="I28" s="104"/>
    </row>
    <row r="29" customFormat="false" ht="30" hidden="false" customHeight="true" outlineLevel="0" collapsed="false">
      <c r="A29" s="104" t="s">
        <v>1465</v>
      </c>
      <c r="B29" s="104"/>
      <c r="C29" s="104"/>
      <c r="D29" s="104"/>
      <c r="E29" s="104"/>
      <c r="F29" s="104"/>
      <c r="G29" s="104"/>
      <c r="H29" s="104"/>
      <c r="I29" s="104"/>
    </row>
    <row r="30" customFormat="false" ht="30" hidden="false" customHeight="true" outlineLevel="0" collapsed="false">
      <c r="A30" s="104" t="s">
        <v>1466</v>
      </c>
      <c r="B30" s="104"/>
      <c r="C30" s="104"/>
      <c r="D30" s="104"/>
      <c r="E30" s="104"/>
      <c r="F30" s="104"/>
      <c r="G30" s="104"/>
      <c r="H30" s="104"/>
      <c r="I30" s="104"/>
    </row>
    <row r="31" customFormat="false" ht="30" hidden="false" customHeight="true" outlineLevel="0" collapsed="false">
      <c r="A31" s="104" t="s">
        <v>1467</v>
      </c>
      <c r="B31" s="104"/>
      <c r="C31" s="104"/>
      <c r="D31" s="104"/>
      <c r="E31" s="104"/>
      <c r="F31" s="104"/>
      <c r="G31" s="104"/>
      <c r="H31" s="104"/>
      <c r="I31" s="104"/>
    </row>
  </sheetData>
  <mergeCells count="8">
    <mergeCell ref="A3:I3"/>
    <mergeCell ref="A23:I23"/>
    <mergeCell ref="A24:I24"/>
    <mergeCell ref="A25:I25"/>
    <mergeCell ref="A28:I28"/>
    <mergeCell ref="A29:I29"/>
    <mergeCell ref="A30:I30"/>
    <mergeCell ref="A31: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1468</v>
      </c>
      <c r="B2" s="3"/>
      <c r="C2" s="3"/>
      <c r="D2" s="3"/>
    </row>
    <row r="4" customFormat="false" ht="15" hidden="false" customHeight="true" outlineLevel="0" collapsed="false">
      <c r="A4" s="9" t="s">
        <v>1469</v>
      </c>
      <c r="B4" s="9" t="s">
        <v>1470</v>
      </c>
      <c r="C4" s="9" t="s">
        <v>1471</v>
      </c>
      <c r="D4" s="9" t="s">
        <v>1472</v>
      </c>
    </row>
    <row r="5" customFormat="false" ht="30" hidden="false" customHeight="true" outlineLevel="0" collapsed="false">
      <c r="A5" s="111" t="n">
        <v>46311</v>
      </c>
      <c r="B5" s="27" t="s">
        <v>1473</v>
      </c>
      <c r="C5" s="27" t="s">
        <v>1474</v>
      </c>
      <c r="D5" s="27" t="s">
        <v>1475</v>
      </c>
    </row>
    <row r="6" customFormat="false" ht="30" hidden="false" customHeight="true" outlineLevel="0" collapsed="false">
      <c r="A6" s="112" t="n">
        <v>46311</v>
      </c>
      <c r="B6" s="59" t="s">
        <v>1473</v>
      </c>
      <c r="C6" s="59" t="s">
        <v>1476</v>
      </c>
      <c r="D6" s="59" t="s">
        <v>1477</v>
      </c>
    </row>
    <row r="7" customFormat="false" ht="30" hidden="false" customHeight="true" outlineLevel="0" collapsed="false">
      <c r="A7" s="111" t="n">
        <v>46311</v>
      </c>
      <c r="B7" s="27" t="s">
        <v>1473</v>
      </c>
      <c r="C7" s="27" t="s">
        <v>1478</v>
      </c>
      <c r="D7" s="27" t="s">
        <v>1479</v>
      </c>
    </row>
    <row r="8" customFormat="false" ht="30" hidden="false" customHeight="true" outlineLevel="0" collapsed="false">
      <c r="A8" s="112" t="n">
        <v>46311</v>
      </c>
      <c r="B8" s="59" t="s">
        <v>1103</v>
      </c>
      <c r="C8" s="59" t="s">
        <v>1480</v>
      </c>
      <c r="D8" s="59" t="s">
        <v>1481</v>
      </c>
    </row>
    <row r="9" customFormat="false" ht="30" hidden="false" customHeight="true" outlineLevel="0" collapsed="false">
      <c r="A9" s="111" t="n">
        <v>46311</v>
      </c>
      <c r="B9" s="27" t="s">
        <v>1482</v>
      </c>
      <c r="C9" s="27" t="s">
        <v>1483</v>
      </c>
      <c r="D9" s="27" t="s">
        <v>1484</v>
      </c>
    </row>
    <row r="10" customFormat="false" ht="30" hidden="false" customHeight="true" outlineLevel="0" collapsed="false">
      <c r="A10" s="112" t="n">
        <v>46311</v>
      </c>
      <c r="B10" s="59" t="s">
        <v>53</v>
      </c>
      <c r="C10" s="59" t="s">
        <v>1485</v>
      </c>
      <c r="D10" s="59" t="s">
        <v>1486</v>
      </c>
    </row>
    <row r="11" customFormat="false" ht="30" hidden="false" customHeight="true" outlineLevel="0" collapsed="false">
      <c r="A11" s="111" t="n">
        <v>46311</v>
      </c>
      <c r="B11" s="27" t="s">
        <v>1487</v>
      </c>
      <c r="C11" s="27" t="s">
        <v>1488</v>
      </c>
      <c r="D11" s="27" t="s">
        <v>1489</v>
      </c>
    </row>
    <row r="12" customFormat="false" ht="30" hidden="false" customHeight="true" outlineLevel="0" collapsed="false">
      <c r="A12" s="112" t="n">
        <v>46311</v>
      </c>
      <c r="B12" s="59" t="s">
        <v>582</v>
      </c>
      <c r="C12" s="59" t="s">
        <v>1490</v>
      </c>
      <c r="D12" s="59" t="s">
        <v>1491</v>
      </c>
    </row>
    <row r="13" customFormat="false" ht="30" hidden="false" customHeight="true" outlineLevel="0" collapsed="false">
      <c r="A13" s="111" t="n">
        <v>46311</v>
      </c>
      <c r="B13" s="27" t="s">
        <v>1492</v>
      </c>
      <c r="C13" s="27" t="s">
        <v>1493</v>
      </c>
      <c r="D13" s="27" t="s">
        <v>1494</v>
      </c>
    </row>
    <row r="14" customFormat="false" ht="30" hidden="false" customHeight="true" outlineLevel="0" collapsed="false">
      <c r="A14" s="112" t="n">
        <v>46311</v>
      </c>
      <c r="B14" s="59" t="s">
        <v>1495</v>
      </c>
      <c r="C14" s="59" t="s">
        <v>1496</v>
      </c>
      <c r="D14" s="59" t="s">
        <v>1497</v>
      </c>
    </row>
    <row r="15" customFormat="false" ht="30" hidden="false" customHeight="true" outlineLevel="0" collapsed="false">
      <c r="A15" s="111" t="n">
        <v>46311</v>
      </c>
      <c r="B15" s="27" t="s">
        <v>58</v>
      </c>
      <c r="C15" s="27" t="s">
        <v>1498</v>
      </c>
      <c r="D15" s="27" t="s">
        <v>1499</v>
      </c>
    </row>
    <row r="16" customFormat="false" ht="30" hidden="false" customHeight="true" outlineLevel="0" collapsed="false">
      <c r="A16" s="112" t="n">
        <v>46311</v>
      </c>
      <c r="B16" s="59" t="s">
        <v>1500</v>
      </c>
      <c r="C16" s="59" t="s">
        <v>1501</v>
      </c>
      <c r="D16" s="59" t="s">
        <v>1502</v>
      </c>
    </row>
    <row r="17" customFormat="false" ht="30" hidden="false" customHeight="true" outlineLevel="0" collapsed="false">
      <c r="A17" s="111" t="n">
        <v>46311</v>
      </c>
      <c r="B17" s="27" t="s">
        <v>62</v>
      </c>
      <c r="C17" s="27" t="s">
        <v>1503</v>
      </c>
      <c r="D17" s="27" t="s">
        <v>1504</v>
      </c>
    </row>
    <row r="18" customFormat="false" ht="30" hidden="false" customHeight="true" outlineLevel="0" collapsed="false">
      <c r="A18" s="112" t="n">
        <v>46311</v>
      </c>
      <c r="B18" s="59" t="s">
        <v>616</v>
      </c>
      <c r="C18" s="59" t="s">
        <v>1505</v>
      </c>
      <c r="D18" s="59" t="s">
        <v>1506</v>
      </c>
    </row>
    <row r="19" customFormat="false" ht="30" hidden="false" customHeight="true" outlineLevel="0" collapsed="false">
      <c r="A19" s="111" t="n">
        <v>46311</v>
      </c>
      <c r="B19" s="27" t="s">
        <v>892</v>
      </c>
      <c r="C19" s="27" t="s">
        <v>1507</v>
      </c>
      <c r="D19" s="27" t="s">
        <v>1508</v>
      </c>
    </row>
    <row r="20" customFormat="false" ht="30" hidden="false" customHeight="true" outlineLevel="0" collapsed="false">
      <c r="A20" s="112" t="n">
        <v>46311</v>
      </c>
      <c r="B20" s="59" t="s">
        <v>1509</v>
      </c>
      <c r="C20" s="59" t="s">
        <v>1510</v>
      </c>
      <c r="D20" s="59" t="s">
        <v>1511</v>
      </c>
    </row>
    <row r="21" customFormat="false" ht="23.25" hidden="false" customHeight="true" outlineLevel="0" collapsed="false">
      <c r="A21" s="112" t="n">
        <v>46313</v>
      </c>
      <c r="B21" s="59" t="s">
        <v>582</v>
      </c>
      <c r="C21" s="59" t="s">
        <v>1512</v>
      </c>
      <c r="D21" s="59" t="s">
        <v>1513</v>
      </c>
    </row>
    <row r="22" customFormat="false" ht="23.25" hidden="false" customHeight="true" outlineLevel="0" collapsed="false">
      <c r="A22" s="112" t="n">
        <v>46313</v>
      </c>
      <c r="B22" s="59" t="s">
        <v>1514</v>
      </c>
      <c r="C22" s="59" t="s">
        <v>1515</v>
      </c>
      <c r="D22" s="59" t="s">
        <v>1516</v>
      </c>
    </row>
    <row r="23" customFormat="false" ht="23.25" hidden="false" customHeight="true" outlineLevel="0" collapsed="false">
      <c r="A23" s="112" t="n">
        <v>46313</v>
      </c>
      <c r="B23" s="59" t="s">
        <v>1514</v>
      </c>
      <c r="C23" s="59" t="s">
        <v>1517</v>
      </c>
      <c r="D23" s="59" t="s">
        <v>1518</v>
      </c>
    </row>
    <row r="24" customFormat="false" ht="34.5" hidden="false" customHeight="true" outlineLevel="0" collapsed="false">
      <c r="A24" s="112" t="n">
        <v>46313</v>
      </c>
      <c r="B24" s="59" t="s">
        <v>1514</v>
      </c>
      <c r="C24" s="59" t="s">
        <v>1519</v>
      </c>
      <c r="D24" s="59" t="s">
        <v>1520</v>
      </c>
    </row>
    <row r="25" customFormat="false" ht="23.25" hidden="false" customHeight="true" outlineLevel="0" collapsed="false">
      <c r="A25" s="112" t="n">
        <v>46313</v>
      </c>
      <c r="B25" s="59" t="s">
        <v>1514</v>
      </c>
      <c r="C25" s="59" t="s">
        <v>1521</v>
      </c>
      <c r="D25" s="59" t="s">
        <v>1522</v>
      </c>
    </row>
    <row r="26" customFormat="false" ht="34.5" hidden="false" customHeight="true" outlineLevel="0" collapsed="false">
      <c r="A26" s="112" t="n">
        <v>46313</v>
      </c>
      <c r="B26" s="59" t="s">
        <v>1523</v>
      </c>
      <c r="C26" s="59" t="s">
        <v>1524</v>
      </c>
      <c r="D26" s="59" t="s">
        <v>1525</v>
      </c>
    </row>
    <row r="27" customFormat="false" ht="35.05" hidden="false" customHeight="false" outlineLevel="0" collapsed="false">
      <c r="A27" s="112" t="n">
        <v>46313</v>
      </c>
      <c r="B27" s="59" t="s">
        <v>1526</v>
      </c>
      <c r="C27" s="59" t="s">
        <v>1527</v>
      </c>
      <c r="D27" s="59" t="s">
        <v>1528</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2026-10-18T07:38:54Z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