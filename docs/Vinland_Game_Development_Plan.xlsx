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<sst xmlns="http://schemas.openxmlformats.org/spreadsheetml/2006/main" count="2045" uniqueCount="1311">
  <si>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</si>
  <si>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</si>
  <si>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</si>
  <si>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</si>
  <si>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</si>
  <si>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</si>
  <si>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</si>
  <si>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</si>
  <si>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</si>
  <si>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</si>
  <si>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</si>
  <si>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</si>
  <si>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</si>
  <si>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</si>
  <si>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</si>
  <si>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</si>
  <si>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</si>
  <si>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</si>
  <si>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</si>
  <si>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</si>
  <si>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</si>
  <si>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</si>
  <si>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</si>
  <si>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</si>
  <si>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</si>
  <si>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</si>
  <si>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</si>
  <si>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</si>
  <si>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</si>
  <si>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</si>
  <si>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</si>
  <si>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</si>
  <si>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</si>
  <si>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</si>
  <si>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</si>
  <si>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</si>
  <si>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</si>
  <si>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</si>
  <si>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</si>
  <si>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</si>
  <si>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</si>
  <si>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</si>
  <si>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</si>
  <si>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</si>
  <si>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</si>
  <si>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</si>
  <si>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</si>
  <si>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</si>
  <si>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</si>
  <si>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</si>
  <si>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</si>
  <si>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</si>
  <si>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</si>
  <si>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</si>
  <si>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</si>
  <si>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</si>
  <si>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</si>
  <si>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</si>
  <si>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</si>
  <si>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</si>
  <si>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</si>
  <si>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</si>
  <si>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</si>
  <si>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</si>
  <si>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</si>
  <si>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</si>
  <si>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</si>
  <si>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</si>
  <si>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</si>
  <si>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</si>
  <si>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</si>
  <si>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</si>
  <si>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</si>
  <si>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</si>
  <si>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</si>
  <si>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</si>
  <si>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</si>
  <si>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</si>
  <si>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</si>
  <si>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</si>
  <si>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</si>
  <si>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</si>
  <si>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</si>
  <si>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</si>
  <si>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</si>
  <si>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</si>
  <si>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</si>
  <si>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</si>
  <si>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</si>
  <si>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</si>
  <si>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</si>
  <si>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</si>
  <si>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</si>
  <si>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</si>
  <si>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</si>
  <si>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</si>
  <si>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</si>
  <si>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</si>
  <si>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</si>
  <si>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</si>
  <si>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</si>
  <si>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</si>
  <si>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</si>
  <si>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</si>
  <si>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</si>
  <si>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</si>
  <si>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</si>
  <si>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</si>
  <si>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</si>
  <si>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</si>
  <si>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</si>
  <si>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</si>
  <si>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</si>
  <si>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</si>
  <si>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</si>
  <si>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</si>
  <si>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</si>
  <si>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</si>
  <si>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</si>
  <si>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</si>
  <si>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</si>
  <si>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</si>
  <si>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</si>
  <si>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</si>
  <si>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</si>
  <si>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</si>
  <si>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</si>
  <si>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</si>
  <si>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</si>
  <si>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</si>
  <si>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</si>
  <si>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</si>
  <si>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</si>
  <si>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</si>
  <si>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</si>
  <si>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</si>
  <si>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</si>
  <si>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</si>
  <si>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</si>
  <si>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</si>
  <si>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</si>
  <si>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</si>
  <si>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</si>
  <si>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</si>
  <si>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</si>
  <si>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</si>
  <si>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</si>
  <si>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</si>
  <si>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</si>
  <si>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</si>
  <si>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</si>
  <si>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</si>
  <si>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</si>
  <si>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</si>
  <si>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</si>
  <si>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</si>
  <si>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</si>
  <si>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</si>
  <si>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</si>
  <si>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</si>
  <si>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</si>
  <si>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</si>
  <si>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</si>
  <si>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</si>
  <si>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</si>
  <si>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</si>
  <si>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</si>
  <si>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</si>
  <si>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</si>
  <si>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</si>
  <si>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</si>
  <si>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</si>
  <si>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</si>
  <si>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</si>
  <si>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</si>
  <si>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</si>
  <si>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</si>
  <si>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</si>
  <si>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</si>
  <si>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</si>
  <si>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</si>
  <si>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</si>
  <si>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</si>
  <si>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</si>
  <si>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</si>
  <si>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</si>
  <si>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</si>
  <si>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</si>
  <si>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</si>
  <si>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</si>
  <si>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</si>
  <si>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</si>
  <si>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</si>
  <si>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</si>
  <si>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</si>
  <si>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</si>
  <si>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</si>
  <si>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</si>
  <si>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</si>
  <si>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</si>
  <si>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</si>
  <si>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</si>
  <si>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</si>
  <si>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</si>
  <si>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</si>
  <si>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</si>
  <si>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</si>
  <si>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</si>
  <si>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</si>
  <si>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</si>
  <si>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</si>
  <si>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</si>
  <si>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</si>
  <si>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</si>
  <si>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</si>
  <si>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</si>
  <si>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</si>
  <si>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</si>
  <si>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</si>
  <si>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</si>
  <si>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</si>
  <si>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</si>
  <si>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</si>
  <si>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</si>
  <si>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</si>
  <si>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</si>
  <si>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</si>
  <si>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</si>
  <si>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</si>
  <si>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</si>
  <si>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</si>
  <si>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</si>
  <si>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</si>
  <si>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</si>
  <si>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</si>
  <si>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</si>
  <si>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</si>
  <si>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</si>
  <si>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</si>
  <si>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</si>
  <si>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</si>
  <si>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</si>
  <si>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</si>
  <si>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</si>
  <si>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</si>
  <si>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</si>
  <si>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</si>
  <si>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</si>
  <si>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</si>
  <si>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</si>
  <si>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</si>
  <si>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</si>
  <si>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</si>
  <si>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</si>
  <si>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</si>
  <si>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</si>
  <si>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</si>
  <si>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</si>
  <si>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</si>
  <si>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</si>
  <si>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</si>
  <si>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</si>
  <si>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</si>
  <si>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</si>
  <si>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</si>
  <si>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</si>
  <si>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</si>
  <si>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</si>
  <si>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</si>
  <si>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</si>
  <si>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</si>
  <si>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</si>
  <si>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</si>
  <si>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</si>
  <si>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</si>
  <si>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</si>
  <si>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</si>
  <si>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</si>
  <si>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</si>
  <si>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</si>
  <si>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</si>
  <si>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</si>
  <si>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</si>
  <si>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</si>
  <si>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</si>
  <si>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</si>
  <si>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</si>
  <si>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</si>
  <si>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</si>
  <si>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</si>
  <si>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</si>
  <si>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</si>
  <si>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</si>
  <si>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</si>
  <si>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</si>
  <si>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</si>
  <si>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</si>
  <si>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</si>
  <si>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</si>
  <si>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</si>
  <si>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</si>
  <si>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</si>
  <si>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</si>
  <si>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</si>
  <si>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</si>
  <si>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</si>
  <si>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</si>
  <si>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</si>
  <si>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</si>
  <si>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</si>
  <si>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</si>
  <si>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</si>
  <si>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</si>
  <si>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</si>
  <si>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</si>
  <si>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</si>
  <si>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</si>
  <si>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</si>
  <si>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</si>
  <si>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</si>
  <si>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</si>
  <si>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</si>
  <si>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</si>
  <si>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</si>
  <si>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</si>
  <si>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</si>
  <si>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</si>
  <si>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</si>
  <si>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</si>
  <si>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</si>
  <si>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</si>
  <si>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</si>
  <si>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</si>
  <si>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</si>
  <si>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</si>
  <si>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</si>
  <si>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</si>
  <si>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</si>
  <si>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</si>
  <si>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</si>
  <si>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</si>
  <si>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</si>
  <si>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</si>
  <si>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</si>
  <si>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</si>
  <si>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</si>
  <si>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</si>
  <si>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</si>
  <si>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</si>
  <si>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</si>
  <si>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</si>
  <si>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</si>
  <si>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</si>
  <si>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</si>
  <si>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</si>
  <si>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</si>
  <si>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</si>
  <si>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</si>
  <si>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</si>
  <si>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</si>
  <si>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</si>
  <si>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</si>
  <si>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</si>
  <si>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</si>
  <si>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</si>
  <si>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</si>
  <si>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</si>
  <si>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</si>
  <si>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</si>
  <si>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</si>
  <si>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</si>
  <si>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</si>
  <si>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</si>
  <si>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</si>
  <si>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</si>
  <si>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</si>
  <si>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</si>
  <si>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</si>
  <si>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</si>
  <si>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OUTFITS AND CREW ROLES</t>
  </si>
  <si>
    <t xml:space="preserve">Merchant: pelt price multiplier</t>
  </si>
  <si>
    <t xml:space="preserve">Outfits (F22): red cloth buys more</t>
  </si>
  <si>
    <t xml:space="preserve">Merchant: forage multiplier</t>
  </si>
  <si>
    <t xml:space="preserve">Outfits (F22): forage-poor</t>
  </si>
  <si>
    <t xml:space="preserve">Farm household: byre work multiplier</t>
  </si>
  <si>
    <t xml:space="preserve">Outfits (F22): the byre is easier</t>
  </si>
  <si>
    <t xml:space="preserve">Farm household: fodder and hay go further</t>
  </si>
  <si>
    <t xml:space="preserve">Outfits (F22): fodder skill, at sea and in the byre</t>
  </si>
  <si>
    <t xml:space="preserve">Farm household: milk multiplier</t>
  </si>
  <si>
    <t xml:space="preserve">Outfits (F22): cheese keeps the milk</t>
  </si>
  <si>
    <t xml:space="preserve">Hunter-boat: shore fishing multiplier</t>
  </si>
  <si>
    <t xml:space="preserve">Outfits (F22): fishing people</t>
  </si>
  <si>
    <t xml:space="preserve">Hunter-boat: goodwill gain multiplier</t>
  </si>
  <si>
    <t xml:space="preserve">Outfits (F22): weak diplomacy</t>
  </si>
  <si>
    <t xml:space="preserve">Hunter-boat: building multiplier</t>
  </si>
  <si>
    <t xml:space="preserve">Outfits (F22): weak builders</t>
  </si>
  <si>
    <t xml:space="preserve">Shipwright's kin: timber felled multiplier</t>
  </si>
  <si>
    <t xml:space="preserve">Outfits (F22): they know a good tree</t>
  </si>
  <si>
    <t xml:space="preserve">Shipwright's kin: repair levels at a landfall</t>
  </si>
  <si>
    <t xml:space="preserve">Outfits (F22): hull repair</t>
  </si>
  <si>
    <t xml:space="preserve">Shipwright's kin: forage multiplier</t>
  </si>
  <si>
    <t xml:space="preserve">Outfits (F22): poor foragers</t>
  </si>
  <si>
    <t xml:space="preserve">Role: speed without a skipper</t>
  </si>
  <si>
    <t xml:space="preserve">Roles (F23): no one who knows her helm</t>
  </si>
  <si>
    <t xml:space="preserve">Role: repair levels at a landfall with a shipwright</t>
  </si>
  <si>
    <t xml:space="preserve">Roles (F23): without one, no repairs ashore</t>
  </si>
  <si>
    <t xml:space="preserve">Role: hooks a smith makes from one iron blade</t>
  </si>
  <si>
    <t xml:space="preserve">Roles (F23): the smith at the camp</t>
  </si>
  <si>
    <t xml:space="preserve">Role: hooks the camp keeps before the smith works iron</t>
  </si>
  <si>
    <t xml:space="preserve">Roles (F23): the smith works when hooks run short</t>
  </si>
  <si>
    <t xml:space="preserve">Role: sick days saved by a healer</t>
  </si>
  <si>
    <t xml:space="preserve">Roles (F23): sickness at sea and ashore</t>
  </si>
  <si>
    <t xml:space="preserve">Role: milk multiplier with a householder</t>
  </si>
  <si>
    <t xml:space="preserve">Roles (F23): the dairy</t>
  </si>
  <si>
    <t xml:space="preserve">Role: kill chance multiplier with a hunter</t>
  </si>
  <si>
    <t xml:space="preserve">Roles (F23): someone who reads the herd</t>
  </si>
  <si>
    <t xml:space="preserve">Role: fewest crew to sail a knarr home</t>
  </si>
  <si>
    <t xml:space="preserve">Roles (F23): the return voyage (F24)</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</si>
  <si>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</si>
  <si>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</si>
  <si>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</si>
  <si>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</si>
  <si>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</si>
  <si>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</si>
  <si>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</si>
  <si>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</si>
  <si>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</si>
  <si>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</si>
  <si>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</si>
  <si>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</si>
  <si>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</si>
  <si>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</si>
  <si>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</si>
  <si>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</si>
  <si>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</si>
  <si>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</si>
  <si>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</si>
  <si>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</si>
  <si>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</si>
  <si>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</si>
  <si>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</si>
  <si>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</si>
  <si>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</si>
  <si>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</si>
  <si>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</si>
  <si>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</si>
  <si>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</si>
  <si>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</si>
  <si>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</si>
  <si>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</si>
  <si>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</si>
  <si>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</si>
  <si>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</si>
  <si>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</si>
  <si>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</si>
  <si>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</si>
  <si>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</si>
  <si>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</si>
  <si>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</si>
  <si>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</si>
  <si>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</si>
  <si>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</si>
  <si>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</si>
  <si>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</si>
  <si>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</si>
  <si>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</si>
  <si>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</si>
  <si>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</si>
  <si>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</si>
  <si>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</si>
  <si>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</si>
  <si>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</si>
  <si>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</si>
  <si>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</si>
  <si>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</si>
  <si>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</si>
  <si>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</si>
  <si>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</si>
  <si>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</si>
  <si>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</si>
  <si>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</si>
  <si>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</si>
  <si>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</si>
  <si>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</si>
  <si>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</si>
  <si>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</si>
  <si>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</si>
  <si>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</si>
  <si>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</si>
  <si>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</si>
  <si>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</si>
  <si>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</si>
  <si>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</si>
  <si>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</si>
  <si>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</si>
  <si>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</si>
  <si>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</si>
  <si>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</si>
  <si>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</si>
  <si>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</si>
  <si>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</si>
  <si>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</si>
  <si>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</si>
  <si>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</si>
  <si>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</si>
  <si>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</si>
  <si>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</si>
  <si>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</si>
  <si>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</si>
  <si>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</si>
  <si>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</si>
  <si>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</si>
  <si>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</si>
  <si>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</si>
  <si>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</si>
  <si>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</si>
  <si>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</si>
  <si>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</si>
  <si>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</si>
  <si>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</si>
  <si>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</si>
  <si>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</si>
  <si>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</si>
  <si>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</si>
  <si>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</si>
  <si>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</si>
  <si>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</si>
  <si>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</si>
  <si>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</si>
  <si>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</si>
  <si>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</si>
  <si>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</si>
  <si>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</si>
  <si>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</si>
  <si>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</si>
  <si>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</si>
  <si>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</si>
  <si>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</si>
  <si>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</si>
  <si>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</si>
  <si>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</si>
  <si>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</si>
  <si>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</si>
  <si>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</si>
  <si>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</si>
  <si>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</si>
  <si>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</si>
  <si>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</si>
  <si>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</si>
  <si>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</si>
  <si>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</si>
  <si>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</si>
  <si>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</si>
  <si>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</si>
  <si>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</si>
  <si>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</si>
  <si>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</si>
  <si>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</si>
  <si>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</si>
  <si>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</si>
  <si>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</si>
  <si>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</si>
  <si>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</si>
  <si>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</si>
  <si>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</si>
  <si>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</si>
  <si>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</si>
  <si>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</si>
  <si>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</si>
  <si>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</si>
  <si>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</si>
  <si>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</si>
  <si>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</si>
  <si>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</si>
  <si>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</si>
  <si>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</si>
  <si>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</si>
  <si>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</si>
  <si>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</si>
  <si>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</si>
  <si>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</si>
  <si>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</si>
  <si>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</si>
  <si>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</si>
  <si>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</si>
  <si>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</si>
  <si>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</si>
  <si>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</si>
  <si>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</si>
  <si>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</si>
  <si>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</si>
  <si>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</si>
  <si>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</si>
  <si>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</si>
  <si>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</si>
  <si>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</si>
  <si>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</si>
  <si>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</si>
  <si>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</si>
  <si>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</si>
  <si>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</si>
  <si>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</si>
  <si>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</si>
  <si>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</si>
  <si>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</si>
  <si>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</si>
  <si>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</si>
  <si>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</si>
  <si>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</si>
  <si>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</si>
  <si>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</si>
  <si>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</si>
  <si>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</si>
  <si>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</si>
  <si>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</si>
  <si>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</si>
  <si>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</si>
  <si>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</si>
  <si>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</si>
  <si>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</si>
  <si>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</si>
  <si>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</si>
  <si>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</si>
  <si>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</si>
  <si>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</si>
  <si>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</si>
  <si>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</si>
  <si>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</si>
  <si>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</si>
  <si>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</si>
  <si>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</si>
  <si>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</si>
  <si>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</si>
  <si>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</si>
  <si>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</si>
  <si>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</si>
  <si>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</si>
  <si>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</si>
  <si>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</si>
  <si>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</si>
  <si>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</si>
  <si>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</si>
  <si>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</si>
  <si>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</si>
  <si>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</si>
  <si>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</si>
  <si>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</si>
  <si>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</si>
  <si>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</si>
  <si>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</si>
  <si>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</si>
  <si>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</si>
  <si>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</si>
  <si>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</si>
  <si>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</si>
  <si>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</si>
  <si>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</si>
  <si>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</si>
  <si>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</si>
  <si>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</si>
  <si>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</si>
  <si>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</si>
  <si>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</si>
  <si>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</si>
  <si>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</si>
  <si>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</si>
  <si>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</si>
  <si>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</si>
  <si>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</si>
  <si>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</si>
  <si>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</si>
  <si>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</si>
  <si>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</si>
  <si>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</si>
  <si>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</si>
  <si>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</si>
  <si>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</si>
  <si>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</si>
  <si>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</si>
  <si>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</si>
  <si>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</si>
  <si>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</si>
  <si>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</si>
  <si>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</si>
  <si>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</si>
  <si>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</si>
  <si>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</si>
  <si>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</si>
  <si>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</si>
  <si>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</si>
  <si>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</si>
  <si>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</si>
  <si>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</si>
  <si>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</si>
  <si>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</si>
  <si>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</si>
  <si>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</si>
  <si>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</si>
  <si>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</si>
  <si>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</si>
  <si>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</si>
  <si>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</si>
  <si>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</si>
  <si>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</si>
  <si>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</si>
  <si>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</si>
  <si>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</si>
  <si>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</si>
  <si>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</si>
  <si>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</si>
  <si>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</si>
  <si>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</si>
  <si>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</si>
  <si>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</si>
  <si>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</si>
  <si>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</si>
  <si>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</si>
  <si>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</si>
  <si>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</si>
  <si>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</si>
  <si>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</si>
  <si>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</si>
  <si>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</si>
  <si>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</si>
  <si>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</si>
  <si>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</si>
  <si>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</si>
  <si>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</si>
  <si>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</si>
  <si>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</si>
  <si>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</si>
  <si>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</si>
  <si>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</si>
  <si>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</si>
  <si>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</si>
  <si>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</si>
  <si>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</si>
  <si>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</si>
  <si>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</si>
  <si>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</si>
  <si>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</si>
  <si>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</si>
  <si>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</si>
  <si>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</si>
  <si>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</si>
  <si>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</si>
  <si>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</si>
  <si>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</si>
  <si>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</si>
  <si>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</si>
  <si>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</si>
  <si>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</si>
  <si>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</si>
  <si>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</si>
  <si>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</si>
  <si>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</si>
  <si>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</si>
  <si>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</si>
  <si>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</si>
  <si>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</si>
  <si>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</si>
  <si>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</si>
  <si>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</si>
  <si>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</si>
  <si>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</si>
  <si>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</si>
  <si>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</si>
  <si>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</si>
  <si>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</si>
  <si>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</si>
  <si>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</si>
  <si>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</si>
  <si>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</si>
  <si>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</si>
  <si>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</si>
  <si>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</si>
  <si>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</si>
  <si>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</si>
  <si>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</si>
  <si>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</si>
  <si>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</si>
  <si>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</si>
  <si>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</si>
  <si>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</si>
  <si>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</si>
  <si>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</si>
  <si>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</si>
  <si>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  [Playable: noon sun board on sunny days (fair, calm, drift ice; a gap in low cloud 35%); turn the disk, set the peg, steady through the roll, take the reading; a snatched shadow is partial. The day uses the better of sun and stars. Novice keyboard/pad 100/100% Forgiving, 100/96% Standard, 42/79% Hard.]</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</si>
  <si>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</si>
  <si>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</si>
  <si>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</si>
  <si>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</si>
  <si>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</si>
  <si>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</si>
  <si>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</si>
  <si>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</si>
  <si>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</si>
  <si>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</si>
  <si>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</si>
  <si>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</si>
  <si>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</si>
  <si>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</si>
  <si>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</si>
  <si>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</si>
  <si>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</si>
  <si>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</si>
  <si>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</si>
  <si>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</si>
  <si>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</si>
  <si>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</si>
  <si>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</si>
  <si>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</si>
  <si>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</si>
  <si>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</si>
  <si>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</si>
  <si>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</si>
  <si>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</si>
  <si>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</si>
  <si>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</si>
  <si>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</si>
  <si>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</si>
  <si>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</si>
  <si>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</si>
  <si>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</si>
  <si>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</si>
  <si>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</si>
  <si>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</si>
  <si>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</si>
  <si>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</si>
  <si>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</si>
  <si>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  [Playable in the camp (B on the Fish row): aim ahead of the school, cast, close with both triggers at the school depth; deeper in rain, hidden in fog until near; one throw a day (two on Forgiving), up to 48 person-days. Novice 96/100% Forgiving, 71/92% Standard.]</t>
  </si>
  <si>
    <t xml:space="preserve">Drying and smoke rack</t>
  </si>
  <si>
    <t xml:space="preserve">Two fair days turn fresh fish into a food unit.  [Smoke-and-dry job turns surplus fresh fish into stores on fair days (90% kept). Rack fire mini-game (MG9) built: steer the smoke under the rack through gusts, hold the heat in the band; your fire cures up to 1.5x a dryer at 60-100% yield, a case-hardened rack loses your share.]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</si>
  <si>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</si>
  <si>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</si>
  <si>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</si>
  <si>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</si>
  <si>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</si>
  <si>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</si>
  <si>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</si>
  <si>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</si>
  <si>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</si>
  <si>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</si>
  <si>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</si>
  <si>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</si>
  <si>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</si>
  <si>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</si>
  <si>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</si>
  <si>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</si>
  <si>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</si>
  <si>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</si>
  <si>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</si>
  <si>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</si>
  <si>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  [Built: Merchant (Karlsefni), Farm household, Hunter-boat, Shipwright's kin chosen on the Eriksfjord loadout. Each sets the starting hold (all fit 24 units with stores for the crossing), the kit (hooks, nets, spare sail), one or two mini-games a step easier or harder, and multipliers on the Assumptions sheet (OUTFITS AND CREW ROLES). Every outfit crosses (40/40 careful runs) and winters (0 deaths, 0 animals lost with a planning player; the farm herd wants five haymakers).]</t>
  </si>
  <si>
    <t xml:space="preserve">F23</t>
  </si>
  <si>
    <t xml:space="preserve">Named crew roles</t>
  </si>
  <si>
    <t xml:space="preserve">Roles decide who can stand a watch, take a verb, or sail home.  [Built: every run has a named crew, about two in five women, with leaders per outfit and seven key roles. Skipper: without one she sails 10% slower. Pilot: without one the star ring and sun board are a step harder. Shipwright: landfall repairs (two levels for Shipwright's kin). Smith: beats trade iron into hooks. Healer: sickness a day shorter. Householder: more milk. Hunter: better kill chance. Deaths name who was lost. Who can sail home (skipper or pilot plus 10 crew) is ready for F24.]</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</si>
  <si>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</si>
  <si>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</si>
  <si>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</si>
  <si>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</si>
  <si>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</si>
  <si>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</si>
  <si>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</si>
  <si>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</si>
  <si>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</si>
  <si>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</si>
  <si>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</si>
  <si>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</si>
  <si>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</si>
  <si>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</si>
  <si>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</si>
  <si>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</si>
  <si>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</si>
  <si>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</si>
  <si>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</si>
  <si>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</si>
  <si>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</si>
  <si>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</si>
  <si>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</si>
  <si>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</si>
  <si>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</si>
  <si>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</si>
  <si>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</si>
  <si>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</si>
  <si>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</si>
  <si>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</si>
  <si>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</si>
  <si>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</si>
  <si>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</si>
  <si>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</si>
  <si>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</si>
  <si>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</si>
  <si>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</si>
  <si>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</si>
  <si>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</si>
  <si>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</si>
  <si>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</si>
  <si>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</si>
  <si>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</si>
  <si>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</si>
  <si>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</si>
  <si>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</si>
  <si>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</si>
  <si>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</si>
  <si>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</si>
  <si>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</si>
  <si>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</si>
  <si>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</si>
  <si>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</si>
  <si>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</si>
  <si>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</si>
  <si>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</si>
  <si>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</si>
  <si>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</si>
  <si>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</si>
  <si>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</si>
  <si>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</si>
  <si>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</si>
  <si>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</si>
  <si>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</si>
  <si>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</si>
  <si>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</si>
  <si>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</si>
  <si>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</si>
  <si>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</si>
  <si>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</si>
  <si>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</si>
  <si>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</si>
  <si>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</si>
  <si>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</si>
  <si>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</si>
  <si>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</si>
  <si>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</si>
  <si>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</si>
  <si>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</si>
  <si>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</si>
  <si>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</si>
  <si>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</si>
  <si>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</si>
  <si>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</si>
  <si>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</si>
  <si>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</si>
  <si>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</si>
  <si>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</si>
  <si>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</si>
  <si>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</si>
  <si>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</si>
  <si>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</si>
  <si>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</si>
  <si>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</si>
  <si>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</si>
  <si>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</si>
  <si>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</si>
  <si>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</si>
  <si>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</si>
  <si>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</si>
  <si>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</si>
  <si>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</si>
  <si>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</si>
  <si>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</si>
  <si>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</si>
  <si>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</si>
  <si>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</si>
  <si>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</si>
  <si>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</si>
  <si>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</si>
  <si>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</si>
  <si>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</si>
  <si>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</si>
  <si>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</si>
  <si>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</si>
  <si>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</si>
  <si>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</si>
  <si>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</si>
  <si>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</si>
  <si>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</si>
  <si>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</si>
  <si>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</si>
  <si>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</si>
  <si>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</si>
  <si>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</si>
  <si>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</si>
  <si>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</si>
  <si>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</si>
  <si>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</si>
  <si>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</si>
  <si>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</si>
  <si>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</si>
  <si>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</si>
  <si>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</si>
  <si>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</si>
  <si>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</si>
  <si>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</si>
  <si>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</si>
  <si>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</si>
  <si>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</si>
  <si>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</si>
  <si>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</si>
  <si>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</si>
  <si>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</si>
  <si>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</si>
  <si>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</si>
  <si>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</si>
  <si>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</si>
  <si>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</si>
  <si>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</si>
  <si>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</si>
  <si>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</si>
  <si>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</si>
  <si>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</si>
  <si>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</si>
  <si>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</si>
  <si>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</si>
  <si>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</si>
  <si>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</si>
  <si>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</si>
  <si>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</si>
  <si>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</si>
  <si>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</si>
  <si>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</si>
  <si>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</si>
  <si>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</si>
  <si>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</si>
  <si>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</si>
  <si>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</si>
  <si>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</si>
  <si>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</si>
  <si>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</si>
  <si>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</si>
  <si>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</si>
  <si>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</si>
  <si>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</si>
  <si>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</si>
  <si>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</si>
  <si>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</si>
  <si>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</si>
  <si>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</si>
  <si>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</si>
  <si>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</si>
  <si>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</si>
  <si>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</si>
  <si>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</si>
  <si>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</si>
  <si>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</si>
  <si>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</si>
  <si>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</si>
  <si>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</si>
  <si>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</si>
  <si>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</si>
  <si>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</si>
  <si>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</si>
  <si>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</si>
  <si>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</si>
  <si>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</si>
  <si>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</si>
  <si>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</si>
  <si>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</si>
  <si>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</si>
  <si>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</si>
  <si>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</si>
  <si>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</si>
  <si>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</si>
  <si>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</si>
  <si>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</si>
  <si>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</si>
  <si>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</si>
  <si>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</si>
  <si>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</si>
  <si>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</si>
  <si>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</si>
  <si>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</si>
  <si>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</si>
  <si>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</si>
  <si>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</si>
  <si>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</si>
  <si>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</si>
  <si>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</si>
  <si>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</si>
  <si>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</si>
  <si>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</si>
  <si>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</si>
  <si>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</si>
  <si>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</si>
  <si>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</si>
  <si>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</si>
  <si>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</si>
  <si>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</si>
  <si>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</si>
  <si>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</si>
  <si>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</si>
  <si>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</si>
  <si>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</si>
  <si>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</si>
  <si>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</si>
  <si>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</si>
  <si>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</si>
  <si>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</si>
  <si>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</si>
  <si>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</si>
  <si>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</si>
  <si>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</si>
  <si>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</si>
  <si>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</si>
  <si>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</si>
  <si>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</si>
  <si>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</si>
  <si>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</si>
  <si>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</si>
  <si>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</si>
  <si>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</si>
  <si>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</si>
  <si>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</si>
  <si>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</si>
  <si>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</si>
  <si>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</si>
  <si>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</si>
  <si>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</si>
  <si>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</si>
  <si>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</si>
  <si>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</si>
  <si>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</si>
  <si>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</si>
  <si>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</si>
  <si>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</si>
  <si>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</si>
  <si>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</si>
  <si>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</si>
  <si>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</si>
  <si>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</si>
  <si>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</si>
  <si>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</si>
  <si>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</si>
  <si>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</si>
  <si>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</si>
  <si>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</si>
  <si>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</si>
  <si>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</si>
  <si>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</si>
  <si>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</si>
  <si>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</si>
  <si>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</si>
  <si>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</si>
  <si>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</si>
  <si>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</si>
  <si>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</si>
  <si>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</si>
  <si>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</si>
  <si>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</si>
  <si>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</si>
  <si>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</si>
  <si>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</si>
  <si>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</si>
  <si>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</si>
  <si>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</si>
  <si>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</si>
  <si>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</si>
  <si>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</si>
  <si>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</si>
  <si>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</si>
  <si>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</si>
  <si>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</si>
  <si>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</si>
  <si>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</si>
  <si>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</si>
  <si>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</si>
  <si>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</si>
  <si>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</si>
  <si>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</si>
  <si>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</si>
  <si>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</si>
  <si>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</si>
  <si>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</si>
  <si>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</si>
  <si>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</si>
  <si>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</si>
  <si>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</si>
  <si>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</si>
  <si>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</si>
  <si>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</si>
  <si>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</si>
  <si>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</si>
  <si>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</si>
  <si>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</si>
  <si>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</si>
  <si>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</si>
  <si>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</si>
  <si>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</si>
  <si>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</si>
  <si>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</si>
  <si>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</si>
  <si>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</si>
  <si>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</si>
  <si>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</si>
  <si>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</si>
  <si>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</si>
  <si>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</si>
  <si>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</si>
  <si>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</si>
  <si>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</si>
  <si>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</si>
  <si>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</si>
  <si>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</si>
  <si>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</si>
  <si>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</si>
  <si>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</si>
  <si>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</si>
  <si>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</si>
  <si>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</si>
  <si>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</si>
  <si>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</si>
  <si>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</si>
  <si>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</si>
  <si>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</si>
  <si>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</si>
  <si>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</si>
  <si>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</si>
  <si>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</si>
  <si>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</si>
  <si>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</si>
  <si>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</si>
  <si>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</si>
  <si>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</si>
  <si>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</si>
  <si>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</si>
  <si>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</si>
  <si>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</si>
  <si>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</si>
  <si>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</si>
  <si>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</si>
  <si>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</si>
  <si>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</si>
  <si>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</si>
  <si>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</si>
  <si>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</si>
  <si>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</si>
  <si>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</si>
  <si>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</si>
  <si>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</si>
  <si>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</si>
  <si>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</si>
  <si>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</si>
  <si>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</si>
  <si>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</si>
  <si>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</si>
  <si>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</si>
  <si>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</si>
  <si>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</si>
  <si>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</si>
  <si>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</si>
  <si>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</si>
  <si>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</si>
  <si>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</si>
  <si>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</si>
  <si>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</si>
  <si>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</si>
  <si>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</si>
  <si>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</si>
  <si>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</si>
  <si>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</si>
  <si>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</si>
  <si>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</si>
  <si>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</si>
  <si>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</si>
  <si>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</si>
  <si>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</si>
  <si>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</si>
  <si>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</si>
  <si>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</si>
  <si>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</si>
  <si>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</si>
  <si>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</si>
  <si>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</si>
  <si>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</si>
  <si>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</si>
  <si>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</si>
  <si>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</si>
  <si>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</si>
  <si>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</si>
  <si>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</si>
  <si>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</si>
  <si>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</si>
  <si>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</si>
  <si>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</si>
  <si>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</si>
  <si>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</si>
  <si>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</si>
  <si>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</si>
  <si>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</si>
  <si>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</si>
  <si>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</si>
  <si>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</si>
  <si>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</si>
  <si>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</si>
  <si>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</si>
  <si>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</si>
  <si>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</si>
  <si>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</si>
  <si>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</si>
  <si>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</si>
  <si>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</si>
  <si>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</si>
  <si>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</si>
  <si>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</si>
  <si>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</si>
  <si>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</si>
  <si>
    <t xml:space="preserve">Backlog, Assumptions</t>
  </si>
  <si>
    <t xml:space="preserve">F04 sun board, F14 net and the MG9 smoke rack built; new WORK MINI-GAME PAYOFFS knobs on Assumptions.</t>
  </si>
  <si>
    <t xml:space="preserve">The sun board, net and smoke rack are playable, tested with expert bots and novice models, and tuned per difficulty.</t>
  </si>
  <si>
    <t xml:space="preserve">F22 four outfits and F23 named crew roles built; OUTFITS AND CREW ROLES knobs added.</t>
  </si>
  <si>
    <t xml:space="preserve">Outfits now change the hold, the kit and how the verbs feel; roles make each death matter.</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</si>
</sst>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5451543"/>
        <c:axId val="74781591"/>
      </c:barChart>
      <c:catAx>
        <c:axId val="545154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781591"/>
        <c:crosses val="autoZero"/>
        <c:auto val="1"/>
        <c:lblAlgn val="ctr"/>
        <c:lblOffset val="100"/>
        <c:noMultiLvlLbl val="0"/>
      </c:catAx>
      <c:valAx>
        <c:axId val="747815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15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739800</xdr:colOff>
      <xdr:row>40</xdr:row>
      <xdr:rowOff>56160</xdr:rowOff>
    </xdr:to>
    <xdr:graphicFrame>
      <xdr:nvGraphicFramePr>
        <xdr:cNvPr id="0" name="Chart 1"/>
        <xdr:cNvGraphicFramePr/>
      </xdr:nvGraphicFramePr>
      <xdr:xfrm>
        <a:off x="0" y="6562800"/>
        <a:ext cx="5391720" cy="2151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13 of 65</v>
      </c>
      <c r="C55" s="31" t="s">
        <v>68</v>
      </c>
      <c r="D55" s="31"/>
      <c r="E55" s="32" t="str">
        <f aca="false">"Info"</f>
        <v>Info</v>
      </c>
      <c r="F55" s="33" t="s">
        <v>69</v>
      </c>
      <c r="G55" s="33"/>
      <c r="H55" s="33"/>
    </row>
    <row r="56" customFormat="false" ht="15" hidden="false" customHeight="true" outlineLevel="0" collapsed="false">
      <c r="A56" s="4" t="s">
        <v>70</v>
      </c>
      <c r="B56" s="38" t="n">
        <f aca="false">Backlog!G86</f>
        <v>0.23202614379085</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2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row r="192" customFormat="false" ht="15" hidden="false" customHeight="true" outlineLevel="0" collapsed="false">
      <c r="A192" s="57" t="s">
        <v>379</v>
      </c>
    </row>
    <row r="193" customFormat="false" ht="15" hidden="false" customHeight="true" outlineLevel="0" collapsed="false">
      <c r="A193" s="9" t="s">
        <v>132</v>
      </c>
      <c r="B193" s="9" t="s">
        <v>42</v>
      </c>
      <c r="C193" s="9" t="s">
        <v>133</v>
      </c>
    </row>
    <row r="194" customFormat="false" ht="15" hidden="false" customHeight="true" outlineLevel="0" collapsed="false">
      <c r="A194" s="42" t="s">
        <v>380</v>
      </c>
      <c r="B194" s="43" t="n">
        <v>0.85</v>
      </c>
      <c r="C194" s="41" t="s">
        <v>381</v>
      </c>
    </row>
    <row r="195" customFormat="false" ht="15" hidden="false" customHeight="true" outlineLevel="0" collapsed="false">
      <c r="A195" s="42" t="s">
        <v>382</v>
      </c>
      <c r="B195" s="43" t="n">
        <v>0.7</v>
      </c>
      <c r="C195" s="41" t="s">
        <v>383</v>
      </c>
    </row>
    <row r="196" customFormat="false" ht="15" hidden="false" customHeight="true" outlineLevel="0" collapsed="false">
      <c r="A196" s="42" t="s">
        <v>384</v>
      </c>
      <c r="B196" s="43" t="n">
        <v>0.7</v>
      </c>
      <c r="C196" s="41" t="s">
        <v>385</v>
      </c>
    </row>
    <row r="197" customFormat="false" ht="15" hidden="false" customHeight="true" outlineLevel="0" collapsed="false">
      <c r="A197" s="42" t="s">
        <v>386</v>
      </c>
      <c r="B197" s="43" t="n">
        <v>1.25</v>
      </c>
      <c r="C197" s="41" t="s">
        <v>387</v>
      </c>
    </row>
    <row r="198" customFormat="false" ht="15" hidden="false" customHeight="true" outlineLevel="0" collapsed="false">
      <c r="A198" s="42" t="s">
        <v>388</v>
      </c>
      <c r="B198" s="43" t="n">
        <v>1.25</v>
      </c>
      <c r="C198" s="41" t="s">
        <v>389</v>
      </c>
    </row>
    <row r="199" customFormat="false" ht="15" hidden="false" customHeight="true" outlineLevel="0" collapsed="false">
      <c r="A199" s="42" t="s">
        <v>390</v>
      </c>
      <c r="B199" s="43" t="n">
        <v>1.25</v>
      </c>
      <c r="C199" s="41" t="s">
        <v>391</v>
      </c>
    </row>
    <row r="200" customFormat="false" ht="15" hidden="false" customHeight="true" outlineLevel="0" collapsed="false">
      <c r="A200" s="42" t="s">
        <v>392</v>
      </c>
      <c r="B200" s="43" t="n">
        <v>0.75</v>
      </c>
      <c r="C200" s="41" t="s">
        <v>393</v>
      </c>
    </row>
    <row r="201" customFormat="false" ht="15" hidden="false" customHeight="true" outlineLevel="0" collapsed="false">
      <c r="A201" s="42" t="s">
        <v>394</v>
      </c>
      <c r="B201" s="43" t="n">
        <v>0.85</v>
      </c>
      <c r="C201" s="41" t="s">
        <v>395</v>
      </c>
    </row>
    <row r="202" customFormat="false" ht="15" hidden="false" customHeight="true" outlineLevel="0" collapsed="false">
      <c r="A202" s="42" t="s">
        <v>396</v>
      </c>
      <c r="B202" s="43" t="n">
        <v>1.25</v>
      </c>
      <c r="C202" s="41" t="s">
        <v>397</v>
      </c>
    </row>
    <row r="203" customFormat="false" ht="15" hidden="false" customHeight="true" outlineLevel="0" collapsed="false">
      <c r="A203" s="42" t="s">
        <v>398</v>
      </c>
      <c r="B203" s="43" t="n">
        <v>2</v>
      </c>
      <c r="C203" s="41" t="s">
        <v>399</v>
      </c>
    </row>
    <row r="204" customFormat="false" ht="15" hidden="false" customHeight="true" outlineLevel="0" collapsed="false">
      <c r="A204" s="42" t="s">
        <v>400</v>
      </c>
      <c r="B204" s="43" t="n">
        <v>0.7</v>
      </c>
      <c r="C204" s="41" t="s">
        <v>401</v>
      </c>
    </row>
    <row r="205" customFormat="false" ht="15" hidden="false" customHeight="true" outlineLevel="0" collapsed="false">
      <c r="A205" s="42" t="s">
        <v>402</v>
      </c>
      <c r="B205" s="43" t="n">
        <v>0.9</v>
      </c>
      <c r="C205" s="41" t="s">
        <v>403</v>
      </c>
    </row>
    <row r="206" customFormat="false" ht="15" hidden="false" customHeight="true" outlineLevel="0" collapsed="false">
      <c r="A206" s="42" t="s">
        <v>404</v>
      </c>
      <c r="B206" s="43" t="n">
        <v>1</v>
      </c>
      <c r="C206" s="41" t="s">
        <v>405</v>
      </c>
    </row>
    <row r="207" customFormat="false" ht="15" hidden="false" customHeight="true" outlineLevel="0" collapsed="false">
      <c r="A207" s="42" t="s">
        <v>406</v>
      </c>
      <c r="B207" s="43" t="n">
        <v>4</v>
      </c>
      <c r="C207" s="41" t="s">
        <v>407</v>
      </c>
    </row>
    <row r="208" customFormat="false" ht="15" hidden="false" customHeight="true" outlineLevel="0" collapsed="false">
      <c r="A208" s="42" t="s">
        <v>408</v>
      </c>
      <c r="B208" s="43" t="n">
        <v>6</v>
      </c>
      <c r="C208" s="41" t="s">
        <v>409</v>
      </c>
    </row>
    <row r="209" customFormat="false" ht="15" hidden="false" customHeight="true" outlineLevel="0" collapsed="false">
      <c r="A209" s="42" t="s">
        <v>410</v>
      </c>
      <c r="B209" s="43" t="n">
        <v>1</v>
      </c>
      <c r="C209" s="41" t="s">
        <v>411</v>
      </c>
    </row>
    <row r="210" customFormat="false" ht="15" hidden="false" customHeight="true" outlineLevel="0" collapsed="false">
      <c r="A210" s="42" t="s">
        <v>412</v>
      </c>
      <c r="B210" s="43" t="n">
        <v>1.2</v>
      </c>
      <c r="C210" s="41" t="s">
        <v>413</v>
      </c>
    </row>
    <row r="211" customFormat="false" ht="15" hidden="false" customHeight="true" outlineLevel="0" collapsed="false">
      <c r="A211" s="42" t="s">
        <v>414</v>
      </c>
      <c r="B211" s="43" t="n">
        <v>1.15</v>
      </c>
      <c r="C211" s="41" t="s">
        <v>415</v>
      </c>
    </row>
    <row r="212" customFormat="false" ht="15" hidden="false" customHeight="true" outlineLevel="0" collapsed="false">
      <c r="A212" s="42" t="s">
        <v>416</v>
      </c>
      <c r="B212" s="43" t="n">
        <v>10</v>
      </c>
      <c r="C212" s="41" t="s">
        <v>417</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418</v>
      </c>
      <c r="B2" s="3"/>
      <c r="C2" s="3"/>
      <c r="D2" s="3"/>
      <c r="E2" s="3"/>
    </row>
    <row r="4" customFormat="false" ht="15" hidden="false" customHeight="true" outlineLevel="0" collapsed="false">
      <c r="A4" s="58" t="s">
        <v>419</v>
      </c>
      <c r="B4" s="58" t="s">
        <v>420</v>
      </c>
      <c r="C4" s="58" t="s">
        <v>421</v>
      </c>
      <c r="D4" s="58" t="s">
        <v>422</v>
      </c>
      <c r="E4" s="58" t="s">
        <v>423</v>
      </c>
    </row>
    <row r="5" customFormat="false" ht="31.5" hidden="false" customHeight="true" outlineLevel="0" collapsed="false">
      <c r="A5" s="27" t="s">
        <v>424</v>
      </c>
      <c r="B5" s="27" t="s">
        <v>425</v>
      </c>
      <c r="C5" s="27" t="s">
        <v>426</v>
      </c>
      <c r="D5" s="27" t="s">
        <v>427</v>
      </c>
      <c r="E5" s="27" t="s">
        <v>428</v>
      </c>
    </row>
    <row r="6" customFormat="false" ht="31.5" hidden="false" customHeight="true" outlineLevel="0" collapsed="false">
      <c r="A6" s="59" t="s">
        <v>429</v>
      </c>
      <c r="B6" s="59" t="s">
        <v>430</v>
      </c>
      <c r="C6" s="59" t="s">
        <v>431</v>
      </c>
      <c r="D6" s="59" t="s">
        <v>432</v>
      </c>
      <c r="E6" s="59" t="s">
        <v>428</v>
      </c>
    </row>
    <row r="7" customFormat="false" ht="31.5" hidden="false" customHeight="true" outlineLevel="0" collapsed="false">
      <c r="A7" s="27" t="s">
        <v>433</v>
      </c>
      <c r="B7" s="27" t="s">
        <v>434</v>
      </c>
      <c r="C7" s="27" t="s">
        <v>435</v>
      </c>
      <c r="D7" s="27" t="s">
        <v>436</v>
      </c>
      <c r="E7" s="27" t="s">
        <v>428</v>
      </c>
    </row>
    <row r="8" customFormat="false" ht="31.5" hidden="false" customHeight="true" outlineLevel="0" collapsed="false">
      <c r="A8" s="59" t="s">
        <v>437</v>
      </c>
      <c r="B8" s="59" t="s">
        <v>438</v>
      </c>
      <c r="C8" s="59" t="s">
        <v>439</v>
      </c>
      <c r="D8" s="59" t="s">
        <v>440</v>
      </c>
      <c r="E8" s="59" t="s">
        <v>428</v>
      </c>
    </row>
    <row r="9" customFormat="false" ht="31.5" hidden="false" customHeight="true" outlineLevel="0" collapsed="false">
      <c r="A9" s="27" t="s">
        <v>441</v>
      </c>
      <c r="B9" s="27" t="s">
        <v>442</v>
      </c>
      <c r="C9" s="27" t="s">
        <v>443</v>
      </c>
      <c r="D9" s="27" t="s">
        <v>444</v>
      </c>
      <c r="E9" s="27" t="s">
        <v>428</v>
      </c>
    </row>
    <row r="10" customFormat="false" ht="31.5" hidden="false" customHeight="true" outlineLevel="0" collapsed="false">
      <c r="A10" s="59" t="s">
        <v>445</v>
      </c>
      <c r="B10" s="59" t="s">
        <v>446</v>
      </c>
      <c r="C10" s="59" t="s">
        <v>447</v>
      </c>
      <c r="D10" s="59" t="s">
        <v>448</v>
      </c>
      <c r="E10" s="59" t="s">
        <v>428</v>
      </c>
    </row>
    <row r="11" customFormat="false" ht="31.5" hidden="false" customHeight="true" outlineLevel="0" collapsed="false">
      <c r="A11" s="27" t="s">
        <v>449</v>
      </c>
      <c r="B11" s="27" t="s">
        <v>450</v>
      </c>
      <c r="C11" s="27" t="s">
        <v>451</v>
      </c>
      <c r="D11" s="27" t="s">
        <v>452</v>
      </c>
      <c r="E11" s="27" t="s">
        <v>428</v>
      </c>
    </row>
    <row r="12" customFormat="false" ht="31.5" hidden="false" customHeight="true" outlineLevel="0" collapsed="false">
      <c r="A12" s="59" t="s">
        <v>453</v>
      </c>
      <c r="B12" s="59" t="s">
        <v>454</v>
      </c>
      <c r="C12" s="59" t="s">
        <v>455</v>
      </c>
      <c r="D12" s="59" t="s">
        <v>456</v>
      </c>
      <c r="E12" s="59" t="s">
        <v>428</v>
      </c>
    </row>
    <row r="14" customFormat="false" ht="15" hidden="false" customHeight="true" outlineLevel="0" collapsed="false">
      <c r="A14" s="6" t="s">
        <v>457</v>
      </c>
      <c r="B14" s="6"/>
      <c r="C14" s="6"/>
      <c r="D14" s="6"/>
      <c r="E14" s="6"/>
    </row>
    <row r="15" customFormat="false" ht="15" hidden="false" customHeight="true" outlineLevel="0" collapsed="false">
      <c r="A15" s="9" t="s">
        <v>458</v>
      </c>
      <c r="B15" s="9" t="s">
        <v>459</v>
      </c>
      <c r="C15" s="9" t="s">
        <v>460</v>
      </c>
      <c r="D15" s="9" t="s">
        <v>461</v>
      </c>
      <c r="E15" s="9" t="s">
        <v>95</v>
      </c>
    </row>
    <row r="16" customFormat="false" ht="31.5" hidden="false" customHeight="true" outlineLevel="0" collapsed="false">
      <c r="A16" s="60" t="s">
        <v>462</v>
      </c>
      <c r="B16" s="60" t="s">
        <v>463</v>
      </c>
      <c r="C16" s="60" t="s">
        <v>464</v>
      </c>
      <c r="D16" s="60" t="s">
        <v>465</v>
      </c>
      <c r="E16" s="60" t="s">
        <v>466</v>
      </c>
    </row>
    <row r="17" customFormat="false" ht="31.5" hidden="false" customHeight="true" outlineLevel="0" collapsed="false">
      <c r="A17" s="59" t="s">
        <v>467</v>
      </c>
      <c r="B17" s="59" t="s">
        <v>468</v>
      </c>
      <c r="C17" s="59" t="s">
        <v>469</v>
      </c>
      <c r="D17" s="59" t="s">
        <v>470</v>
      </c>
      <c r="E17" s="59" t="s">
        <v>471</v>
      </c>
    </row>
    <row r="18" customFormat="false" ht="31.5" hidden="false" customHeight="true" outlineLevel="0" collapsed="false">
      <c r="A18" s="60" t="s">
        <v>472</v>
      </c>
      <c r="B18" s="60" t="s">
        <v>473</v>
      </c>
      <c r="C18" s="60" t="s">
        <v>474</v>
      </c>
      <c r="D18" s="60" t="s">
        <v>475</v>
      </c>
      <c r="E18" s="60" t="s">
        <v>476</v>
      </c>
    </row>
    <row r="20" customFormat="false" ht="15" hidden="false" customHeight="true" outlineLevel="0" collapsed="false">
      <c r="A20" s="24" t="s">
        <v>477</v>
      </c>
      <c r="B20" s="24"/>
      <c r="C20" s="24"/>
      <c r="D20" s="24"/>
      <c r="E20" s="24"/>
    </row>
    <row r="21" customFormat="false" ht="15" hidden="false" customHeight="true" outlineLevel="0" collapsed="false">
      <c r="A21" s="9" t="s">
        <v>478</v>
      </c>
      <c r="B21" s="9" t="s">
        <v>479</v>
      </c>
      <c r="C21" s="9" t="s">
        <v>480</v>
      </c>
      <c r="D21" s="9" t="s">
        <v>481</v>
      </c>
      <c r="E21" s="9" t="s">
        <v>482</v>
      </c>
    </row>
    <row r="22" customFormat="false" ht="27.75" hidden="false" customHeight="true" outlineLevel="0" collapsed="false">
      <c r="A22" s="27" t="s">
        <v>483</v>
      </c>
      <c r="B22" s="27" t="s">
        <v>484</v>
      </c>
      <c r="C22" s="27" t="s">
        <v>485</v>
      </c>
      <c r="D22" s="27" t="s">
        <v>486</v>
      </c>
      <c r="E22" s="27" t="s">
        <v>487</v>
      </c>
    </row>
    <row r="23" customFormat="false" ht="27.75" hidden="false" customHeight="true" outlineLevel="0" collapsed="false">
      <c r="A23" s="59" t="s">
        <v>488</v>
      </c>
      <c r="B23" s="59" t="s">
        <v>489</v>
      </c>
      <c r="C23" s="59" t="s">
        <v>490</v>
      </c>
      <c r="D23" s="59" t="s">
        <v>491</v>
      </c>
      <c r="E23" s="59" t="s">
        <v>492</v>
      </c>
    </row>
    <row r="24" customFormat="false" ht="27.75" hidden="false" customHeight="true" outlineLevel="0" collapsed="false">
      <c r="A24" s="27" t="s">
        <v>493</v>
      </c>
      <c r="B24" s="27" t="s">
        <v>494</v>
      </c>
      <c r="C24" s="27" t="s">
        <v>495</v>
      </c>
      <c r="D24" s="27" t="s">
        <v>496</v>
      </c>
      <c r="E24" s="27" t="s">
        <v>497</v>
      </c>
    </row>
    <row r="25" customFormat="false" ht="27.75" hidden="false" customHeight="true" outlineLevel="0" collapsed="false">
      <c r="A25" s="59" t="s">
        <v>498</v>
      </c>
      <c r="B25" s="59" t="s">
        <v>494</v>
      </c>
      <c r="C25" s="59" t="s">
        <v>499</v>
      </c>
      <c r="D25" s="59" t="s">
        <v>500</v>
      </c>
      <c r="E25" s="59" t="s">
        <v>501</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502</v>
      </c>
      <c r="B2" s="3"/>
      <c r="C2" s="3"/>
      <c r="D2" s="3"/>
      <c r="E2" s="3"/>
      <c r="F2" s="3"/>
      <c r="G2" s="3"/>
    </row>
    <row r="4" customFormat="false" ht="15" hidden="false" customHeight="true" outlineLevel="0" collapsed="false">
      <c r="A4" s="58" t="s">
        <v>503</v>
      </c>
      <c r="B4" s="58" t="s">
        <v>504</v>
      </c>
      <c r="C4" s="58" t="s">
        <v>505</v>
      </c>
      <c r="D4" s="58" t="s">
        <v>506</v>
      </c>
      <c r="E4" s="58" t="s">
        <v>507</v>
      </c>
      <c r="F4" s="58" t="s">
        <v>5</v>
      </c>
      <c r="G4" s="9" t="s">
        <v>508</v>
      </c>
    </row>
    <row r="5" customFormat="false" ht="30" hidden="false" customHeight="true" outlineLevel="0" collapsed="false">
      <c r="A5" s="27" t="s">
        <v>509</v>
      </c>
      <c r="B5" s="27" t="s">
        <v>510</v>
      </c>
      <c r="C5" s="27" t="s">
        <v>134</v>
      </c>
      <c r="D5" s="61" t="n">
        <f aca="false">Assumptions!B41</f>
        <v>24</v>
      </c>
      <c r="E5" s="27" t="s">
        <v>511</v>
      </c>
      <c r="F5" s="27" t="s">
        <v>98</v>
      </c>
      <c r="G5" s="27" t="s">
        <v>512</v>
      </c>
    </row>
    <row r="6" customFormat="false" ht="30" hidden="false" customHeight="true" outlineLevel="0" collapsed="false">
      <c r="A6" s="59" t="s">
        <v>513</v>
      </c>
      <c r="B6" s="59" t="s">
        <v>514</v>
      </c>
      <c r="C6" s="59" t="s">
        <v>515</v>
      </c>
      <c r="D6" s="61" t="n">
        <f aca="false">Assumptions!B42</f>
        <v>24</v>
      </c>
      <c r="E6" s="59" t="s">
        <v>516</v>
      </c>
      <c r="F6" s="59" t="s">
        <v>98</v>
      </c>
      <c r="G6" s="59" t="s">
        <v>517</v>
      </c>
    </row>
    <row r="7" customFormat="false" ht="30" hidden="false" customHeight="true" outlineLevel="0" collapsed="false">
      <c r="A7" s="27" t="s">
        <v>228</v>
      </c>
      <c r="B7" s="27" t="s">
        <v>518</v>
      </c>
      <c r="C7" s="27" t="s">
        <v>519</v>
      </c>
      <c r="D7" s="61" t="n">
        <f aca="false">Assumptions!B44</f>
        <v>120</v>
      </c>
      <c r="E7" s="27" t="s">
        <v>520</v>
      </c>
      <c r="F7" s="27" t="s">
        <v>98</v>
      </c>
      <c r="G7" s="27" t="s">
        <v>521</v>
      </c>
    </row>
    <row r="8" customFormat="false" ht="30" hidden="false" customHeight="true" outlineLevel="0" collapsed="false">
      <c r="A8" s="59" t="s">
        <v>522</v>
      </c>
      <c r="B8" s="59" t="s">
        <v>523</v>
      </c>
      <c r="C8" s="59" t="s">
        <v>524</v>
      </c>
      <c r="D8" s="61" t="n">
        <f aca="false">Assumptions!B46</f>
        <v>400</v>
      </c>
      <c r="E8" s="59" t="s">
        <v>525</v>
      </c>
      <c r="F8" s="59" t="s">
        <v>100</v>
      </c>
      <c r="G8" s="59" t="s">
        <v>526</v>
      </c>
    </row>
    <row r="9" customFormat="false" ht="30" hidden="false" customHeight="true" outlineLevel="0" collapsed="false">
      <c r="A9" s="27" t="s">
        <v>527</v>
      </c>
      <c r="B9" s="27" t="s">
        <v>528</v>
      </c>
      <c r="C9" s="27" t="s">
        <v>529</v>
      </c>
      <c r="D9" s="61" t="n">
        <f aca="false">Assumptions!B45</f>
        <v>120</v>
      </c>
      <c r="E9" s="27" t="s">
        <v>530</v>
      </c>
      <c r="F9" s="27" t="s">
        <v>98</v>
      </c>
      <c r="G9" s="27" t="s">
        <v>531</v>
      </c>
    </row>
    <row r="10" customFormat="false" ht="30" hidden="false" customHeight="true" outlineLevel="0" collapsed="false">
      <c r="A10" s="59" t="s">
        <v>219</v>
      </c>
      <c r="B10" s="59" t="s">
        <v>532</v>
      </c>
      <c r="C10" s="59" t="s">
        <v>533</v>
      </c>
      <c r="D10" s="59" t="s">
        <v>428</v>
      </c>
      <c r="E10" s="59" t="s">
        <v>534</v>
      </c>
      <c r="F10" s="59" t="s">
        <v>98</v>
      </c>
      <c r="G10" s="59" t="s">
        <v>535</v>
      </c>
    </row>
    <row r="11" customFormat="false" ht="30" hidden="false" customHeight="true" outlineLevel="0" collapsed="false">
      <c r="A11" s="27" t="s">
        <v>536</v>
      </c>
      <c r="B11" s="27" t="s">
        <v>537</v>
      </c>
      <c r="C11" s="27" t="s">
        <v>533</v>
      </c>
      <c r="D11" s="27" t="s">
        <v>21</v>
      </c>
      <c r="E11" s="27" t="s">
        <v>538</v>
      </c>
      <c r="F11" s="27" t="s">
        <v>98</v>
      </c>
      <c r="G11" s="27" t="s">
        <v>539</v>
      </c>
    </row>
    <row r="12" customFormat="false" ht="30" hidden="false" customHeight="true" outlineLevel="0" collapsed="false">
      <c r="A12" s="59" t="s">
        <v>540</v>
      </c>
      <c r="B12" s="59" t="s">
        <v>541</v>
      </c>
      <c r="C12" s="59" t="s">
        <v>533</v>
      </c>
      <c r="D12" s="59" t="s">
        <v>542</v>
      </c>
      <c r="E12" s="59" t="s">
        <v>543</v>
      </c>
      <c r="F12" s="59" t="s">
        <v>100</v>
      </c>
      <c r="G12" s="59" t="s">
        <v>544</v>
      </c>
    </row>
    <row r="13" customFormat="false" ht="30" hidden="false" customHeight="true" outlineLevel="0" collapsed="false">
      <c r="A13" s="27" t="s">
        <v>545</v>
      </c>
      <c r="B13" s="27" t="s">
        <v>546</v>
      </c>
      <c r="C13" s="27" t="s">
        <v>547</v>
      </c>
      <c r="D13" s="61" t="n">
        <f aca="false">Assumptions!B43</f>
        <v>168</v>
      </c>
      <c r="E13" s="27" t="s">
        <v>548</v>
      </c>
      <c r="F13" s="27" t="s">
        <v>98</v>
      </c>
      <c r="G13" s="27" t="s">
        <v>549</v>
      </c>
    </row>
    <row r="14" customFormat="false" ht="30" hidden="false" customHeight="true" outlineLevel="0" collapsed="false">
      <c r="A14" s="59" t="s">
        <v>550</v>
      </c>
      <c r="B14" s="59" t="s">
        <v>551</v>
      </c>
      <c r="C14" s="59" t="s">
        <v>552</v>
      </c>
      <c r="D14" s="61" t="n">
        <f aca="false">Assumptions!B48</f>
        <v>2</v>
      </c>
      <c r="E14" s="59" t="s">
        <v>553</v>
      </c>
      <c r="F14" s="59" t="s">
        <v>100</v>
      </c>
      <c r="G14" s="59" t="s">
        <v>554</v>
      </c>
    </row>
    <row r="15" customFormat="false" ht="30" hidden="false" customHeight="true" outlineLevel="0" collapsed="false">
      <c r="A15" s="27" t="s">
        <v>555</v>
      </c>
      <c r="B15" s="27" t="s">
        <v>556</v>
      </c>
      <c r="C15" s="27" t="s">
        <v>557</v>
      </c>
      <c r="D15" s="61" t="n">
        <f aca="false">Assumptions!B50</f>
        <v>5</v>
      </c>
      <c r="E15" s="27" t="s">
        <v>558</v>
      </c>
      <c r="F15" s="27" t="s">
        <v>100</v>
      </c>
      <c r="G15" s="27" t="s">
        <v>559</v>
      </c>
    </row>
    <row r="16" customFormat="false" ht="30" hidden="false" customHeight="true" outlineLevel="0" collapsed="false">
      <c r="A16" s="59" t="s">
        <v>560</v>
      </c>
      <c r="B16" s="59" t="s">
        <v>561</v>
      </c>
      <c r="C16" s="59" t="s">
        <v>562</v>
      </c>
      <c r="D16" s="61" t="n">
        <f aca="false">Assumptions!B49</f>
        <v>4</v>
      </c>
      <c r="E16" s="59" t="s">
        <v>151</v>
      </c>
      <c r="F16" s="59" t="s">
        <v>102</v>
      </c>
      <c r="G16" s="59" t="s">
        <v>563</v>
      </c>
    </row>
    <row r="17" customFormat="false" ht="30" hidden="false" customHeight="true" outlineLevel="0" collapsed="false">
      <c r="A17" s="27" t="s">
        <v>564</v>
      </c>
      <c r="B17" s="27" t="s">
        <v>565</v>
      </c>
      <c r="C17" s="27" t="s">
        <v>566</v>
      </c>
      <c r="D17" s="61" t="n">
        <f aca="false">Assumptions!B47</f>
        <v>3</v>
      </c>
      <c r="E17" s="27" t="s">
        <v>567</v>
      </c>
      <c r="F17" s="27" t="s">
        <v>102</v>
      </c>
      <c r="G17" s="27" t="s">
        <v>568</v>
      </c>
    </row>
    <row r="18" customFormat="false" ht="30" hidden="false" customHeight="true" outlineLevel="0" collapsed="false">
      <c r="A18" s="59" t="s">
        <v>569</v>
      </c>
      <c r="B18" s="59" t="s">
        <v>570</v>
      </c>
      <c r="C18" s="59" t="s">
        <v>533</v>
      </c>
      <c r="D18" s="59" t="s">
        <v>428</v>
      </c>
      <c r="E18" s="59" t="s">
        <v>571</v>
      </c>
      <c r="F18" s="59" t="s">
        <v>104</v>
      </c>
      <c r="G18" s="59" t="s">
        <v>572</v>
      </c>
    </row>
    <row r="19" customFormat="false" ht="30" hidden="false" customHeight="true" outlineLevel="0" collapsed="false">
      <c r="A19" s="27" t="s">
        <v>573</v>
      </c>
      <c r="B19" s="27" t="s">
        <v>574</v>
      </c>
      <c r="C19" s="27" t="s">
        <v>575</v>
      </c>
      <c r="D19" s="61" t="n">
        <f aca="false">Assumptions!B47</f>
        <v>3</v>
      </c>
      <c r="E19" s="27" t="s">
        <v>576</v>
      </c>
      <c r="F19" s="27" t="s">
        <v>98</v>
      </c>
      <c r="G19" s="27" t="s">
        <v>577</v>
      </c>
    </row>
    <row r="20" customFormat="false" ht="30" hidden="false" customHeight="true" outlineLevel="0" collapsed="false">
      <c r="A20" s="59" t="s">
        <v>224</v>
      </c>
      <c r="B20" s="59" t="s">
        <v>578</v>
      </c>
      <c r="C20" s="59" t="s">
        <v>533</v>
      </c>
      <c r="D20" s="59" t="s">
        <v>428</v>
      </c>
      <c r="E20" s="59" t="s">
        <v>579</v>
      </c>
      <c r="F20" s="59" t="s">
        <v>100</v>
      </c>
      <c r="G20" s="59" t="s">
        <v>580</v>
      </c>
    </row>
    <row r="21" customFormat="false" ht="30" hidden="false" customHeight="true" outlineLevel="0" collapsed="false">
      <c r="A21" s="27" t="s">
        <v>581</v>
      </c>
      <c r="B21" s="27" t="s">
        <v>582</v>
      </c>
      <c r="C21" s="27" t="s">
        <v>515</v>
      </c>
      <c r="D21" s="61" t="n">
        <f aca="false">Assumptions!B42</f>
        <v>24</v>
      </c>
      <c r="E21" s="27" t="s">
        <v>583</v>
      </c>
      <c r="F21" s="27" t="s">
        <v>100</v>
      </c>
      <c r="G21" s="27" t="s">
        <v>584</v>
      </c>
    </row>
    <row r="22" customFormat="false" ht="30" hidden="false" customHeight="true" outlineLevel="0" collapsed="false">
      <c r="A22" s="59" t="s">
        <v>236</v>
      </c>
      <c r="B22" s="59" t="s">
        <v>585</v>
      </c>
      <c r="C22" s="59" t="s">
        <v>586</v>
      </c>
      <c r="D22" s="61" t="n">
        <f aca="false">Assumptions!B57</f>
        <v>2</v>
      </c>
      <c r="E22" s="59" t="s">
        <v>587</v>
      </c>
      <c r="F22" s="59" t="s">
        <v>100</v>
      </c>
      <c r="G22" s="59" t="s">
        <v>588</v>
      </c>
    </row>
    <row r="23" customFormat="false" ht="30" hidden="false" customHeight="true" outlineLevel="0" collapsed="false">
      <c r="A23" s="27" t="s">
        <v>589</v>
      </c>
      <c r="B23" s="27" t="s">
        <v>590</v>
      </c>
      <c r="C23" s="27" t="s">
        <v>552</v>
      </c>
      <c r="D23" s="61" t="n">
        <f aca="false">Assumptions!B48</f>
        <v>2</v>
      </c>
      <c r="E23" s="27" t="s">
        <v>591</v>
      </c>
      <c r="F23" s="27" t="s">
        <v>100</v>
      </c>
      <c r="G23" s="27" t="s">
        <v>592</v>
      </c>
    </row>
    <row r="24" customFormat="false" ht="30" hidden="false" customHeight="true" outlineLevel="0" collapsed="false">
      <c r="A24" s="59" t="s">
        <v>593</v>
      </c>
      <c r="B24" s="59" t="s">
        <v>594</v>
      </c>
      <c r="C24" s="59" t="s">
        <v>134</v>
      </c>
      <c r="D24" s="61" t="n">
        <f aca="false">Assumptions!B41</f>
        <v>24</v>
      </c>
      <c r="E24" s="59" t="s">
        <v>595</v>
      </c>
      <c r="F24" s="59" t="s">
        <v>98</v>
      </c>
      <c r="G24" s="59" t="s">
        <v>596</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597</v>
      </c>
      <c r="B2" s="3"/>
      <c r="C2" s="3"/>
      <c r="D2" s="3"/>
      <c r="E2" s="3"/>
    </row>
    <row r="4" customFormat="false" ht="15" hidden="false" customHeight="true" outlineLevel="0" collapsed="false">
      <c r="A4" s="6" t="s">
        <v>598</v>
      </c>
      <c r="B4" s="6"/>
      <c r="C4" s="6"/>
      <c r="D4" s="6"/>
      <c r="E4" s="6"/>
    </row>
    <row r="5" customFormat="false" ht="15" hidden="false" customHeight="true" outlineLevel="0" collapsed="false">
      <c r="A5" s="9" t="s">
        <v>110</v>
      </c>
      <c r="B5" s="9" t="s">
        <v>42</v>
      </c>
      <c r="C5" s="9" t="s">
        <v>599</v>
      </c>
      <c r="D5" s="9"/>
      <c r="E5" s="9"/>
    </row>
    <row r="6" customFormat="false" ht="15" hidden="false" customHeight="true" outlineLevel="0" collapsed="false">
      <c r="A6" s="4" t="s">
        <v>600</v>
      </c>
      <c r="B6" s="62" t="n">
        <f aca="false">Assumptions!B62</f>
        <v>1200</v>
      </c>
      <c r="C6" s="33" t="s">
        <v>601</v>
      </c>
      <c r="D6" s="33"/>
      <c r="E6" s="33"/>
    </row>
    <row r="7" customFormat="false" ht="15" hidden="false" customHeight="true" outlineLevel="0" collapsed="false">
      <c r="A7" s="4" t="s">
        <v>142</v>
      </c>
      <c r="B7" s="61" t="n">
        <f aca="false">Assumptions!B45</f>
        <v>120</v>
      </c>
      <c r="C7" s="33" t="s">
        <v>602</v>
      </c>
      <c r="D7" s="33"/>
      <c r="E7" s="33"/>
    </row>
    <row r="8" customFormat="false" ht="15" hidden="false" customHeight="true" outlineLevel="0" collapsed="false">
      <c r="A8" s="4" t="s">
        <v>603</v>
      </c>
      <c r="B8" s="63" t="n">
        <f aca="false">IF(B7=0,0,B6/B7)</f>
        <v>10</v>
      </c>
      <c r="C8" s="33" t="s">
        <v>604</v>
      </c>
      <c r="D8" s="33"/>
      <c r="E8" s="33"/>
    </row>
    <row r="9" customFormat="false" ht="15" hidden="false" customHeight="true" outlineLevel="0" collapsed="false">
      <c r="A9" s="4" t="s">
        <v>172</v>
      </c>
      <c r="B9" s="64" t="n">
        <f aca="false">Assumptions!B63</f>
        <v>1.3</v>
      </c>
      <c r="C9" s="33" t="s">
        <v>605</v>
      </c>
      <c r="D9" s="33"/>
      <c r="E9" s="33"/>
    </row>
    <row r="10" customFormat="false" ht="15" hidden="false" customHeight="true" outlineLevel="0" collapsed="false">
      <c r="A10" s="4" t="s">
        <v>55</v>
      </c>
      <c r="B10" s="32" t="n">
        <f aca="false">ROUNDUP(B8*B9,0)</f>
        <v>13</v>
      </c>
      <c r="C10" s="33" t="s">
        <v>606</v>
      </c>
      <c r="D10" s="33"/>
      <c r="E10" s="33"/>
    </row>
    <row r="12" customFormat="false" ht="15" hidden="false" customHeight="true" outlineLevel="0" collapsed="false">
      <c r="A12" s="6" t="s">
        <v>607</v>
      </c>
      <c r="B12" s="6"/>
      <c r="C12" s="6"/>
      <c r="D12" s="6"/>
      <c r="E12" s="6"/>
    </row>
    <row r="13" customFormat="false" ht="15" hidden="false" customHeight="true" outlineLevel="0" collapsed="false">
      <c r="A13" s="9" t="s">
        <v>608</v>
      </c>
      <c r="B13" s="9" t="s">
        <v>609</v>
      </c>
      <c r="C13" s="9" t="s">
        <v>610</v>
      </c>
      <c r="D13" s="9" t="s">
        <v>611</v>
      </c>
      <c r="E13" s="9" t="s">
        <v>504</v>
      </c>
    </row>
    <row r="14" customFormat="false" ht="15" hidden="false" customHeight="true" outlineLevel="0" collapsed="false">
      <c r="A14" s="59" t="s">
        <v>612</v>
      </c>
      <c r="B14" s="61" t="n">
        <f aca="false">Assumptions!B42</f>
        <v>24</v>
      </c>
      <c r="C14" s="65" t="n">
        <f aca="false">Assumptions!B54</f>
        <v>0.4</v>
      </c>
      <c r="D14" s="63" t="n">
        <f aca="false">B14*C14</f>
        <v>9.6</v>
      </c>
      <c r="E14" s="41" t="s">
        <v>613</v>
      </c>
    </row>
    <row r="15" customFormat="false" ht="15" hidden="false" customHeight="true" outlineLevel="0" collapsed="false">
      <c r="A15" s="27" t="s">
        <v>614</v>
      </c>
      <c r="B15" s="61" t="n">
        <f aca="false">Assumptions!B57</f>
        <v>2</v>
      </c>
      <c r="C15" s="65" t="n">
        <f aca="false">Assumptions!B55</f>
        <v>1.5</v>
      </c>
      <c r="D15" s="63" t="n">
        <f aca="false">B15*C15</f>
        <v>3</v>
      </c>
      <c r="E15" s="41" t="s">
        <v>615</v>
      </c>
    </row>
    <row r="16" customFormat="false" ht="15" hidden="false" customHeight="true" outlineLevel="0" collapsed="false">
      <c r="A16" s="59" t="s">
        <v>616</v>
      </c>
      <c r="B16" s="61" t="n">
        <f aca="false">Assumptions!B58</f>
        <v>6</v>
      </c>
      <c r="C16" s="65" t="n">
        <f aca="false">Assumptions!B56</f>
        <v>0.4</v>
      </c>
      <c r="D16" s="63" t="n">
        <f aca="false">B16*C16</f>
        <v>2.4</v>
      </c>
      <c r="E16" s="41"/>
    </row>
    <row r="17" customFormat="false" ht="15" hidden="false" customHeight="true" outlineLevel="0" collapsed="false">
      <c r="A17" s="27" t="s">
        <v>548</v>
      </c>
      <c r="B17" s="32" t="n">
        <f aca="false">ROUNDUP(B14*$B$10/Assumptions!B43,0)</f>
        <v>2</v>
      </c>
      <c r="C17" s="63" t="n">
        <v>1</v>
      </c>
      <c r="D17" s="63" t="n">
        <f aca="false">B17*C17</f>
        <v>2</v>
      </c>
      <c r="E17" s="41" t="s">
        <v>617</v>
      </c>
    </row>
    <row r="18" customFormat="false" ht="15" hidden="false" customHeight="true" outlineLevel="0" collapsed="false">
      <c r="A18" s="59" t="s">
        <v>618</v>
      </c>
      <c r="B18" s="32" t="n">
        <f aca="false">ROUNDUP(B14*$B$10/Assumptions!B44,0)</f>
        <v>3</v>
      </c>
      <c r="C18" s="63" t="n">
        <v>1</v>
      </c>
      <c r="D18" s="63" t="n">
        <f aca="false">B18*C18</f>
        <v>3</v>
      </c>
      <c r="E18" s="41" t="s">
        <v>619</v>
      </c>
    </row>
    <row r="19" customFormat="false" ht="15" hidden="false" customHeight="true" outlineLevel="0" collapsed="false">
      <c r="A19" s="27" t="s">
        <v>620</v>
      </c>
      <c r="B19" s="32" t="n">
        <f aca="false">ROUNDUP((B15+B16*Assumptions!B60)*$B$10/Assumptions!B59,0)</f>
        <v>2</v>
      </c>
      <c r="C19" s="63" t="n">
        <v>1</v>
      </c>
      <c r="D19" s="63" t="n">
        <f aca="false">B19*C19</f>
        <v>2</v>
      </c>
      <c r="E19" s="41" t="s">
        <v>621</v>
      </c>
    </row>
    <row r="20" customFormat="false" ht="15" hidden="false" customHeight="true" outlineLevel="0" collapsed="false">
      <c r="A20" s="59" t="s">
        <v>622</v>
      </c>
      <c r="B20" s="61" t="n">
        <f aca="false">Assumptions!B61</f>
        <v>2</v>
      </c>
      <c r="C20" s="63" t="n">
        <v>1</v>
      </c>
      <c r="D20" s="63" t="n">
        <f aca="false">B20*C20</f>
        <v>2</v>
      </c>
      <c r="E20" s="41" t="s">
        <v>169</v>
      </c>
    </row>
    <row r="21" customFormat="false" ht="15" hidden="false" customHeight="true" outlineLevel="0" collapsed="false">
      <c r="A21" s="20" t="s">
        <v>623</v>
      </c>
      <c r="B21" s="20"/>
      <c r="C21" s="20"/>
      <c r="D21" s="66" t="n">
        <f aca="false">SUM(D14:D20)</f>
        <v>24</v>
      </c>
      <c r="E21" s="20"/>
    </row>
    <row r="22" customFormat="false" ht="15" hidden="false" customHeight="true" outlineLevel="0" collapsed="false">
      <c r="A22" s="4" t="s">
        <v>624</v>
      </c>
      <c r="D22" s="65" t="n">
        <f aca="false">Assumptions!B41</f>
        <v>24</v>
      </c>
    </row>
    <row r="23" customFormat="false" ht="15" hidden="false" customHeight="true" outlineLevel="0" collapsed="false">
      <c r="A23" s="67" t="s">
        <v>625</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626</v>
      </c>
      <c r="B25" s="6"/>
      <c r="C25" s="6"/>
      <c r="D25" s="6"/>
      <c r="E25" s="6"/>
    </row>
    <row r="26" customFormat="false" ht="15" hidden="false" customHeight="true" outlineLevel="0" collapsed="false">
      <c r="A26" s="9" t="s">
        <v>608</v>
      </c>
      <c r="B26" s="9" t="s">
        <v>609</v>
      </c>
      <c r="C26" s="9" t="s">
        <v>610</v>
      </c>
      <c r="D26" s="9" t="s">
        <v>611</v>
      </c>
      <c r="E26" s="9" t="s">
        <v>504</v>
      </c>
    </row>
    <row r="27" customFormat="false" ht="15" hidden="false" customHeight="true" outlineLevel="0" collapsed="false">
      <c r="A27" s="27" t="s">
        <v>627</v>
      </c>
      <c r="B27" s="61" t="n">
        <f aca="false">Assumptions!B64</f>
        <v>10</v>
      </c>
      <c r="C27" s="65" t="n">
        <f aca="false">Assumptions!B54</f>
        <v>0.4</v>
      </c>
      <c r="D27" s="63" t="n">
        <f aca="false">B27*C27</f>
        <v>4</v>
      </c>
      <c r="E27" s="41" t="s">
        <v>175</v>
      </c>
    </row>
    <row r="28" customFormat="false" ht="15" hidden="false" customHeight="true" outlineLevel="0" collapsed="false">
      <c r="A28" s="59" t="s">
        <v>628</v>
      </c>
      <c r="B28" s="32" t="n">
        <f aca="false">ROUNDUP(B27*$B$10/Assumptions!B43,0)</f>
        <v>1</v>
      </c>
      <c r="C28" s="63" t="n">
        <v>1</v>
      </c>
      <c r="D28" s="63" t="n">
        <f aca="false">B28*C28</f>
        <v>1</v>
      </c>
      <c r="E28" s="41" t="s">
        <v>629</v>
      </c>
    </row>
    <row r="29" customFormat="false" ht="15" hidden="false" customHeight="true" outlineLevel="0" collapsed="false">
      <c r="A29" s="27" t="s">
        <v>630</v>
      </c>
      <c r="B29" s="32" t="n">
        <f aca="false">ROUNDUP(B27*$B$10/Assumptions!B44,0)</f>
        <v>2</v>
      </c>
      <c r="C29" s="63" t="n">
        <v>1</v>
      </c>
      <c r="D29" s="63" t="n">
        <f aca="false">B29*C29</f>
        <v>2</v>
      </c>
      <c r="E29" s="41"/>
    </row>
    <row r="30" customFormat="false" ht="15" hidden="false" customHeight="true" outlineLevel="0" collapsed="false">
      <c r="A30" s="4" t="s">
        <v>631</v>
      </c>
      <c r="D30" s="63" t="n">
        <f aca="false">SUM(D27:D29)</f>
        <v>7</v>
      </c>
    </row>
    <row r="31" customFormat="false" ht="15" hidden="false" customHeight="true" outlineLevel="0" collapsed="false">
      <c r="A31" s="4" t="s">
        <v>632</v>
      </c>
      <c r="D31" s="63" t="n">
        <f aca="false">Assumptions!B41-D30</f>
        <v>17</v>
      </c>
    </row>
    <row r="32" customFormat="false" ht="15" hidden="false" customHeight="true" outlineLevel="0" collapsed="false">
      <c r="A32" s="4" t="s">
        <v>633</v>
      </c>
      <c r="D32" s="32" t="n">
        <f aca="false">INT(D31/Assumptions!B65)</f>
        <v>17</v>
      </c>
    </row>
    <row r="33" customFormat="false" ht="15" hidden="false" customHeight="true" outlineLevel="0" collapsed="false">
      <c r="A33" s="4" t="s">
        <v>634</v>
      </c>
      <c r="D33" s="61" t="n">
        <f aca="false">Assumptions!B49</f>
        <v>4</v>
      </c>
    </row>
    <row r="34" customFormat="false" ht="15" hidden="false" customHeight="true" outlineLevel="0" collapsed="false">
      <c r="A34" s="67" t="s">
        <v>560</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635</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636</v>
      </c>
      <c r="B2" s="3"/>
      <c r="C2" s="3"/>
      <c r="D2" s="3"/>
      <c r="E2" s="3"/>
      <c r="F2" s="3"/>
      <c r="G2" s="3"/>
      <c r="H2" s="3"/>
      <c r="I2" s="3"/>
      <c r="J2" s="3"/>
      <c r="K2" s="3"/>
    </row>
    <row r="4" customFormat="false" ht="15" hidden="false" customHeight="true" outlineLevel="0" collapsed="false">
      <c r="A4" s="58" t="s">
        <v>419</v>
      </c>
      <c r="B4" s="58" t="s">
        <v>20</v>
      </c>
      <c r="C4" s="58" t="s">
        <v>637</v>
      </c>
      <c r="D4" s="58" t="s">
        <v>638</v>
      </c>
      <c r="E4" s="58" t="s">
        <v>639</v>
      </c>
      <c r="F4" s="58" t="s">
        <v>640</v>
      </c>
      <c r="G4" s="58" t="s">
        <v>641</v>
      </c>
      <c r="H4" s="58" t="s">
        <v>642</v>
      </c>
      <c r="I4" s="9" t="s">
        <v>508</v>
      </c>
      <c r="J4" s="9" t="s">
        <v>643</v>
      </c>
      <c r="K4" s="9" t="s">
        <v>644</v>
      </c>
    </row>
    <row r="5" customFormat="false" ht="36" hidden="false" customHeight="true" outlineLevel="0" collapsed="false">
      <c r="A5" s="27" t="s">
        <v>645</v>
      </c>
      <c r="B5" s="27" t="s">
        <v>23</v>
      </c>
      <c r="C5" s="27" t="s">
        <v>646</v>
      </c>
      <c r="D5" s="27" t="s">
        <v>647</v>
      </c>
      <c r="E5" s="27" t="s">
        <v>648</v>
      </c>
      <c r="F5" s="27" t="s">
        <v>649</v>
      </c>
      <c r="G5" s="27" t="s">
        <v>650</v>
      </c>
      <c r="H5" s="70" t="n">
        <v>1</v>
      </c>
      <c r="I5" s="27" t="s">
        <v>651</v>
      </c>
      <c r="J5" s="27" t="s">
        <v>652</v>
      </c>
      <c r="K5" s="27" t="s">
        <v>653</v>
      </c>
    </row>
    <row r="6" customFormat="false" ht="36" hidden="false" customHeight="true" outlineLevel="0" collapsed="false">
      <c r="A6" s="59" t="s">
        <v>654</v>
      </c>
      <c r="B6" s="59" t="s">
        <v>23</v>
      </c>
      <c r="C6" s="59" t="s">
        <v>655</v>
      </c>
      <c r="D6" s="59" t="s">
        <v>656</v>
      </c>
      <c r="E6" s="59" t="s">
        <v>657</v>
      </c>
      <c r="F6" s="59" t="s">
        <v>658</v>
      </c>
      <c r="G6" s="59" t="s">
        <v>659</v>
      </c>
      <c r="H6" s="70" t="n">
        <v>2</v>
      </c>
      <c r="I6" s="59" t="s">
        <v>660</v>
      </c>
      <c r="J6" s="59" t="s">
        <v>661</v>
      </c>
      <c r="K6" s="59" t="s">
        <v>662</v>
      </c>
    </row>
    <row r="7" customFormat="false" ht="36" hidden="false" customHeight="true" outlineLevel="0" collapsed="false">
      <c r="A7" s="27" t="s">
        <v>663</v>
      </c>
      <c r="B7" s="27" t="s">
        <v>26</v>
      </c>
      <c r="C7" s="27" t="s">
        <v>664</v>
      </c>
      <c r="D7" s="27" t="s">
        <v>665</v>
      </c>
      <c r="E7" s="27" t="s">
        <v>666</v>
      </c>
      <c r="F7" s="27" t="s">
        <v>667</v>
      </c>
      <c r="G7" s="27" t="s">
        <v>668</v>
      </c>
      <c r="H7" s="70" t="n">
        <v>1</v>
      </c>
      <c r="I7" s="27" t="s">
        <v>669</v>
      </c>
      <c r="J7" s="27" t="s">
        <v>670</v>
      </c>
      <c r="K7" s="27" t="s">
        <v>671</v>
      </c>
    </row>
    <row r="8" customFormat="false" ht="36" hidden="false" customHeight="true" outlineLevel="0" collapsed="false">
      <c r="A8" s="59" t="s">
        <v>672</v>
      </c>
      <c r="B8" s="59" t="s">
        <v>26</v>
      </c>
      <c r="C8" s="59" t="s">
        <v>673</v>
      </c>
      <c r="D8" s="59" t="s">
        <v>674</v>
      </c>
      <c r="E8" s="59" t="s">
        <v>675</v>
      </c>
      <c r="F8" s="59" t="s">
        <v>676</v>
      </c>
      <c r="G8" s="59" t="s">
        <v>677</v>
      </c>
      <c r="H8" s="70" t="n">
        <v>3</v>
      </c>
      <c r="I8" s="59" t="s">
        <v>678</v>
      </c>
      <c r="J8" s="59" t="s">
        <v>679</v>
      </c>
      <c r="K8" s="59" t="s">
        <v>680</v>
      </c>
    </row>
    <row r="9" customFormat="false" ht="36" hidden="false" customHeight="true" outlineLevel="0" collapsed="false">
      <c r="A9" s="27" t="s">
        <v>681</v>
      </c>
      <c r="B9" s="27" t="s">
        <v>29</v>
      </c>
      <c r="C9" s="27" t="s">
        <v>682</v>
      </c>
      <c r="D9" s="27" t="s">
        <v>683</v>
      </c>
      <c r="E9" s="27" t="s">
        <v>684</v>
      </c>
      <c r="F9" s="27" t="s">
        <v>685</v>
      </c>
      <c r="G9" s="27" t="s">
        <v>686</v>
      </c>
      <c r="H9" s="70" t="n">
        <v>2</v>
      </c>
      <c r="I9" s="27" t="s">
        <v>687</v>
      </c>
      <c r="J9" s="27" t="s">
        <v>688</v>
      </c>
      <c r="K9" s="27" t="s">
        <v>689</v>
      </c>
    </row>
    <row r="10" customFormat="false" ht="36" hidden="false" customHeight="true" outlineLevel="0" collapsed="false">
      <c r="A10" s="59" t="s">
        <v>690</v>
      </c>
      <c r="B10" s="59" t="s">
        <v>32</v>
      </c>
      <c r="C10" s="59" t="s">
        <v>691</v>
      </c>
      <c r="D10" s="59" t="s">
        <v>692</v>
      </c>
      <c r="E10" s="59" t="s">
        <v>693</v>
      </c>
      <c r="F10" s="59" t="s">
        <v>694</v>
      </c>
      <c r="G10" s="59" t="s">
        <v>695</v>
      </c>
      <c r="H10" s="70" t="n">
        <v>3</v>
      </c>
      <c r="I10" s="59" t="s">
        <v>696</v>
      </c>
      <c r="J10" s="59" t="s">
        <v>697</v>
      </c>
      <c r="K10" s="59" t="s">
        <v>698</v>
      </c>
    </row>
    <row r="11" customFormat="false" ht="36" hidden="false" customHeight="true" outlineLevel="0" collapsed="false">
      <c r="A11" s="27" t="s">
        <v>699</v>
      </c>
      <c r="B11" s="27" t="s">
        <v>35</v>
      </c>
      <c r="C11" s="27" t="s">
        <v>700</v>
      </c>
      <c r="D11" s="27" t="s">
        <v>701</v>
      </c>
      <c r="E11" s="27" t="s">
        <v>702</v>
      </c>
      <c r="F11" s="27" t="s">
        <v>703</v>
      </c>
      <c r="G11" s="27" t="s">
        <v>704</v>
      </c>
      <c r="H11" s="70" t="n">
        <v>2</v>
      </c>
      <c r="I11" s="27" t="s">
        <v>705</v>
      </c>
      <c r="J11" s="27" t="s">
        <v>706</v>
      </c>
      <c r="K11" s="27" t="s">
        <v>707</v>
      </c>
    </row>
    <row r="12" customFormat="false" ht="36" hidden="false" customHeight="true" outlineLevel="0" collapsed="false">
      <c r="A12" s="59" t="s">
        <v>708</v>
      </c>
      <c r="B12" s="59" t="s">
        <v>35</v>
      </c>
      <c r="C12" s="59" t="s">
        <v>709</v>
      </c>
      <c r="D12" s="59" t="s">
        <v>710</v>
      </c>
      <c r="E12" s="59" t="s">
        <v>711</v>
      </c>
      <c r="F12" s="59" t="s">
        <v>712</v>
      </c>
      <c r="G12" s="59" t="s">
        <v>713</v>
      </c>
      <c r="H12" s="70" t="n">
        <v>3</v>
      </c>
      <c r="I12" s="59" t="s">
        <v>714</v>
      </c>
      <c r="J12" s="59" t="s">
        <v>715</v>
      </c>
      <c r="K12" s="59" t="s">
        <v>716</v>
      </c>
    </row>
    <row r="13" customFormat="false" ht="36" hidden="false" customHeight="true" outlineLevel="0" collapsed="false">
      <c r="A13" s="27" t="s">
        <v>717</v>
      </c>
      <c r="B13" s="27" t="s">
        <v>35</v>
      </c>
      <c r="C13" s="27" t="s">
        <v>718</v>
      </c>
      <c r="D13" s="27" t="s">
        <v>719</v>
      </c>
      <c r="E13" s="27" t="s">
        <v>720</v>
      </c>
      <c r="F13" s="27" t="s">
        <v>721</v>
      </c>
      <c r="G13" s="27" t="s">
        <v>722</v>
      </c>
      <c r="H13" s="70" t="n">
        <v>4</v>
      </c>
      <c r="I13" s="27" t="s">
        <v>723</v>
      </c>
      <c r="J13" s="27" t="s">
        <v>724</v>
      </c>
      <c r="K13" s="27" t="s">
        <v>725</v>
      </c>
    </row>
    <row r="14" customFormat="false" ht="36" hidden="false" customHeight="true" outlineLevel="0" collapsed="false">
      <c r="A14" s="59" t="s">
        <v>726</v>
      </c>
      <c r="B14" s="59" t="s">
        <v>727</v>
      </c>
      <c r="C14" s="59" t="s">
        <v>728</v>
      </c>
      <c r="D14" s="59" t="s">
        <v>729</v>
      </c>
      <c r="E14" s="59" t="s">
        <v>730</v>
      </c>
      <c r="F14" s="59" t="s">
        <v>731</v>
      </c>
      <c r="G14" s="59" t="s">
        <v>732</v>
      </c>
      <c r="H14" s="70" t="n">
        <v>2</v>
      </c>
      <c r="I14" s="59" t="s">
        <v>733</v>
      </c>
      <c r="J14" s="59" t="s">
        <v>734</v>
      </c>
      <c r="K14" s="59" t="s">
        <v>735</v>
      </c>
    </row>
    <row r="16" customFormat="false" ht="15" hidden="false" customHeight="true" outlineLevel="0" collapsed="false">
      <c r="A16" s="24" t="s">
        <v>736</v>
      </c>
      <c r="B16" s="24"/>
      <c r="C16" s="24"/>
      <c r="D16" s="24"/>
      <c r="E16" s="24"/>
      <c r="F16" s="24"/>
      <c r="G16" s="24"/>
      <c r="H16" s="24"/>
    </row>
    <row r="17" customFormat="false" ht="15" hidden="false" customHeight="true" outlineLevel="0" collapsed="false">
      <c r="A17" s="26" t="s">
        <v>737</v>
      </c>
      <c r="B17" s="71" t="s">
        <v>738</v>
      </c>
      <c r="C17" s="71"/>
      <c r="D17" s="71"/>
      <c r="E17" s="71"/>
      <c r="F17" s="71"/>
      <c r="G17" s="71"/>
      <c r="H17" s="71"/>
    </row>
    <row r="18" customFormat="false" ht="15" hidden="false" customHeight="true" outlineLevel="0" collapsed="false">
      <c r="A18" s="26" t="s">
        <v>739</v>
      </c>
      <c r="B18" s="71" t="s">
        <v>740</v>
      </c>
      <c r="C18" s="71"/>
      <c r="D18" s="71"/>
      <c r="E18" s="71"/>
      <c r="F18" s="71"/>
      <c r="G18" s="71"/>
      <c r="H18" s="71"/>
    </row>
    <row r="19" customFormat="false" ht="15" hidden="false" customHeight="true" outlineLevel="0" collapsed="false">
      <c r="A19" s="26" t="s">
        <v>741</v>
      </c>
      <c r="B19" s="71" t="s">
        <v>742</v>
      </c>
      <c r="C19" s="71"/>
      <c r="D19" s="71"/>
      <c r="E19" s="71"/>
      <c r="F19" s="71"/>
      <c r="G19" s="71"/>
      <c r="H19" s="71"/>
    </row>
    <row r="20" customFormat="false" ht="15" hidden="false" customHeight="true" outlineLevel="0" collapsed="false">
      <c r="A20" s="26" t="s">
        <v>743</v>
      </c>
      <c r="B20" s="71" t="s">
        <v>744</v>
      </c>
      <c r="C20" s="71"/>
      <c r="D20" s="71"/>
      <c r="E20" s="71"/>
      <c r="F20" s="71"/>
      <c r="G20" s="71"/>
      <c r="H20" s="71"/>
    </row>
    <row r="21" customFormat="false" ht="15" hidden="false" customHeight="true" outlineLevel="0" collapsed="false">
      <c r="A21" s="26" t="s">
        <v>745</v>
      </c>
      <c r="B21" s="71" t="s">
        <v>746</v>
      </c>
      <c r="C21" s="71"/>
      <c r="D21" s="71"/>
      <c r="E21" s="71"/>
      <c r="F21" s="71"/>
      <c r="G21" s="71"/>
      <c r="H21" s="71"/>
    </row>
    <row r="22" customFormat="false" ht="15" hidden="false" customHeight="true" outlineLevel="0" collapsed="false">
      <c r="A22" s="26" t="s">
        <v>747</v>
      </c>
      <c r="B22" s="71" t="s">
        <v>748</v>
      </c>
      <c r="C22" s="71"/>
      <c r="D22" s="71"/>
      <c r="E22" s="71"/>
      <c r="F22" s="71"/>
      <c r="G22" s="71"/>
      <c r="H22" s="71"/>
    </row>
    <row r="23" customFormat="false" ht="15" hidden="false" customHeight="true" outlineLevel="0" collapsed="false">
      <c r="A23" s="26" t="s">
        <v>749</v>
      </c>
      <c r="B23" s="71" t="s">
        <v>750</v>
      </c>
      <c r="C23" s="71"/>
      <c r="D23" s="71"/>
      <c r="E23" s="71"/>
      <c r="F23" s="71"/>
      <c r="G23" s="71"/>
      <c r="H23" s="71"/>
    </row>
    <row r="25" customFormat="false" ht="15" hidden="false" customHeight="true" outlineLevel="0" collapsed="false">
      <c r="A25" s="72" t="s">
        <v>751</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752</v>
      </c>
      <c r="B2" s="3"/>
      <c r="C2" s="3"/>
      <c r="D2" s="3"/>
      <c r="E2" s="3"/>
      <c r="F2" s="3"/>
      <c r="G2" s="3"/>
      <c r="H2" s="3"/>
      <c r="I2" s="3"/>
      <c r="J2" s="3"/>
    </row>
    <row r="4" customFormat="false" ht="15" hidden="false" customHeight="true" outlineLevel="0" collapsed="false">
      <c r="A4" s="9" t="s">
        <v>419</v>
      </c>
      <c r="B4" s="9" t="s">
        <v>753</v>
      </c>
      <c r="C4" s="9" t="s">
        <v>503</v>
      </c>
      <c r="D4" s="9" t="s">
        <v>5</v>
      </c>
      <c r="E4" s="9" t="s">
        <v>754</v>
      </c>
      <c r="F4" s="9" t="s">
        <v>755</v>
      </c>
      <c r="G4" s="9" t="s">
        <v>756</v>
      </c>
      <c r="H4" s="9" t="s">
        <v>757</v>
      </c>
      <c r="I4" s="9" t="s">
        <v>44</v>
      </c>
      <c r="J4" s="9" t="s">
        <v>758</v>
      </c>
    </row>
    <row r="5" customFormat="false" ht="27" hidden="false" customHeight="true" outlineLevel="0" collapsed="false">
      <c r="A5" s="27" t="s">
        <v>759</v>
      </c>
      <c r="B5" s="27" t="s">
        <v>760</v>
      </c>
      <c r="C5" s="27" t="s">
        <v>23</v>
      </c>
      <c r="D5" s="27" t="s">
        <v>96</v>
      </c>
      <c r="E5" s="27" t="s">
        <v>761</v>
      </c>
      <c r="F5" s="27" t="s">
        <v>428</v>
      </c>
      <c r="G5" s="43" t="n">
        <v>5</v>
      </c>
      <c r="H5" s="27" t="s">
        <v>533</v>
      </c>
      <c r="I5" s="70" t="s">
        <v>762</v>
      </c>
      <c r="J5" s="27" t="s">
        <v>763</v>
      </c>
    </row>
    <row r="6" customFormat="false" ht="27" hidden="false" customHeight="true" outlineLevel="0" collapsed="false">
      <c r="A6" s="59" t="s">
        <v>764</v>
      </c>
      <c r="B6" s="59" t="s">
        <v>765</v>
      </c>
      <c r="C6" s="59" t="s">
        <v>766</v>
      </c>
      <c r="D6" s="59" t="s">
        <v>96</v>
      </c>
      <c r="E6" s="59" t="s">
        <v>761</v>
      </c>
      <c r="F6" s="59" t="s">
        <v>767</v>
      </c>
      <c r="G6" s="43" t="n">
        <v>8</v>
      </c>
      <c r="H6" s="59" t="s">
        <v>759</v>
      </c>
      <c r="I6" s="70" t="s">
        <v>762</v>
      </c>
      <c r="J6" s="59" t="s">
        <v>768</v>
      </c>
    </row>
    <row r="7" customFormat="false" ht="27" hidden="false" customHeight="true" outlineLevel="0" collapsed="false">
      <c r="A7" s="27" t="s">
        <v>769</v>
      </c>
      <c r="B7" s="27" t="s">
        <v>770</v>
      </c>
      <c r="C7" s="27" t="s">
        <v>766</v>
      </c>
      <c r="D7" s="27" t="s">
        <v>96</v>
      </c>
      <c r="E7" s="27" t="s">
        <v>761</v>
      </c>
      <c r="F7" s="27" t="s">
        <v>767</v>
      </c>
      <c r="G7" s="43" t="n">
        <v>3</v>
      </c>
      <c r="H7" s="27" t="s">
        <v>764</v>
      </c>
      <c r="I7" s="70" t="s">
        <v>762</v>
      </c>
      <c r="J7" s="27" t="s">
        <v>771</v>
      </c>
    </row>
    <row r="8" customFormat="false" ht="27" hidden="false" customHeight="true" outlineLevel="0" collapsed="false">
      <c r="A8" s="59" t="s">
        <v>772</v>
      </c>
      <c r="B8" s="59" t="s">
        <v>773</v>
      </c>
      <c r="C8" s="59" t="s">
        <v>774</v>
      </c>
      <c r="D8" s="59" t="s">
        <v>96</v>
      </c>
      <c r="E8" s="59" t="s">
        <v>761</v>
      </c>
      <c r="F8" s="59" t="s">
        <v>774</v>
      </c>
      <c r="G8" s="43" t="n">
        <v>5</v>
      </c>
      <c r="H8" s="59" t="s">
        <v>533</v>
      </c>
      <c r="I8" s="70" t="s">
        <v>775</v>
      </c>
      <c r="J8" s="59" t="s">
        <v>776</v>
      </c>
    </row>
    <row r="9" customFormat="false" ht="27" hidden="false" customHeight="true" outlineLevel="0" collapsed="false">
      <c r="A9" s="27" t="s">
        <v>512</v>
      </c>
      <c r="B9" s="27" t="s">
        <v>777</v>
      </c>
      <c r="C9" s="27" t="s">
        <v>778</v>
      </c>
      <c r="D9" s="27" t="s">
        <v>98</v>
      </c>
      <c r="E9" s="27" t="s">
        <v>761</v>
      </c>
      <c r="F9" s="27" t="s">
        <v>767</v>
      </c>
      <c r="G9" s="43" t="n">
        <v>8</v>
      </c>
      <c r="H9" s="27" t="s">
        <v>533</v>
      </c>
      <c r="I9" s="70" t="s">
        <v>779</v>
      </c>
      <c r="J9" s="27" t="s">
        <v>780</v>
      </c>
    </row>
    <row r="10" customFormat="false" ht="27" hidden="false" customHeight="true" outlineLevel="0" collapsed="false">
      <c r="A10" s="59" t="s">
        <v>531</v>
      </c>
      <c r="B10" s="59" t="s">
        <v>781</v>
      </c>
      <c r="C10" s="59" t="s">
        <v>782</v>
      </c>
      <c r="D10" s="59" t="s">
        <v>98</v>
      </c>
      <c r="E10" s="59" t="s">
        <v>761</v>
      </c>
      <c r="F10" s="59" t="s">
        <v>767</v>
      </c>
      <c r="G10" s="43" t="n">
        <v>10</v>
      </c>
      <c r="H10" s="59" t="s">
        <v>512</v>
      </c>
      <c r="I10" s="70" t="s">
        <v>779</v>
      </c>
      <c r="J10" s="59" t="s">
        <v>783</v>
      </c>
    </row>
    <row r="11" customFormat="false" ht="27" hidden="false" customHeight="true" outlineLevel="0" collapsed="false">
      <c r="A11" s="27" t="s">
        <v>651</v>
      </c>
      <c r="B11" s="27" t="s">
        <v>784</v>
      </c>
      <c r="C11" s="27" t="s">
        <v>23</v>
      </c>
      <c r="D11" s="27" t="s">
        <v>98</v>
      </c>
      <c r="E11" s="27" t="s">
        <v>761</v>
      </c>
      <c r="F11" s="27" t="s">
        <v>428</v>
      </c>
      <c r="G11" s="43" t="n">
        <v>12</v>
      </c>
      <c r="H11" s="27" t="s">
        <v>531</v>
      </c>
      <c r="I11" s="70" t="s">
        <v>762</v>
      </c>
      <c r="J11" s="27" t="s">
        <v>785</v>
      </c>
    </row>
    <row r="12" customFormat="false" ht="27" hidden="false" customHeight="true" outlineLevel="0" collapsed="false">
      <c r="A12" s="59" t="s">
        <v>660</v>
      </c>
      <c r="B12" s="59" t="s">
        <v>786</v>
      </c>
      <c r="C12" s="59" t="s">
        <v>23</v>
      </c>
      <c r="D12" s="59" t="s">
        <v>98</v>
      </c>
      <c r="E12" s="59" t="s">
        <v>761</v>
      </c>
      <c r="F12" s="59" t="s">
        <v>428</v>
      </c>
      <c r="G12" s="43" t="n">
        <v>6</v>
      </c>
      <c r="H12" s="59" t="s">
        <v>651</v>
      </c>
      <c r="I12" s="70" t="s">
        <v>779</v>
      </c>
      <c r="J12" s="59" t="s">
        <v>787</v>
      </c>
    </row>
    <row r="13" customFormat="false" ht="27" hidden="false" customHeight="true" outlineLevel="0" collapsed="false">
      <c r="A13" s="27" t="s">
        <v>669</v>
      </c>
      <c r="B13" s="27" t="s">
        <v>788</v>
      </c>
      <c r="C13" s="27" t="s">
        <v>26</v>
      </c>
      <c r="D13" s="27" t="s">
        <v>98</v>
      </c>
      <c r="E13" s="27" t="s">
        <v>761</v>
      </c>
      <c r="F13" s="27" t="s">
        <v>428</v>
      </c>
      <c r="G13" s="43" t="n">
        <v>8</v>
      </c>
      <c r="H13" s="27" t="s">
        <v>531</v>
      </c>
      <c r="I13" s="70" t="s">
        <v>762</v>
      </c>
      <c r="J13" s="27" t="s">
        <v>789</v>
      </c>
    </row>
    <row r="14" customFormat="false" ht="27" hidden="false" customHeight="true" outlineLevel="0" collapsed="false">
      <c r="A14" s="59" t="s">
        <v>790</v>
      </c>
      <c r="B14" s="59" t="s">
        <v>791</v>
      </c>
      <c r="C14" s="59" t="s">
        <v>472</v>
      </c>
      <c r="D14" s="59" t="s">
        <v>98</v>
      </c>
      <c r="E14" s="59" t="s">
        <v>761</v>
      </c>
      <c r="F14" s="59" t="s">
        <v>428</v>
      </c>
      <c r="G14" s="43" t="n">
        <v>8</v>
      </c>
      <c r="H14" s="59" t="s">
        <v>512</v>
      </c>
      <c r="I14" s="70" t="s">
        <v>762</v>
      </c>
      <c r="J14" s="59" t="s">
        <v>792</v>
      </c>
    </row>
    <row r="15" customFormat="false" ht="27" hidden="false" customHeight="true" outlineLevel="0" collapsed="false">
      <c r="A15" s="27" t="s">
        <v>705</v>
      </c>
      <c r="B15" s="27" t="s">
        <v>793</v>
      </c>
      <c r="C15" s="27" t="s">
        <v>35</v>
      </c>
      <c r="D15" s="27" t="s">
        <v>98</v>
      </c>
      <c r="E15" s="27" t="s">
        <v>761</v>
      </c>
      <c r="F15" s="27" t="s">
        <v>767</v>
      </c>
      <c r="G15" s="43" t="n">
        <v>8</v>
      </c>
      <c r="H15" s="27" t="s">
        <v>790</v>
      </c>
      <c r="I15" s="70" t="s">
        <v>762</v>
      </c>
      <c r="J15" s="27" t="s">
        <v>794</v>
      </c>
    </row>
    <row r="16" customFormat="false" ht="27" hidden="false" customHeight="true" outlineLevel="0" collapsed="false">
      <c r="A16" s="59" t="s">
        <v>795</v>
      </c>
      <c r="B16" s="59" t="s">
        <v>796</v>
      </c>
      <c r="C16" s="59" t="s">
        <v>638</v>
      </c>
      <c r="D16" s="59" t="s">
        <v>98</v>
      </c>
      <c r="E16" s="59" t="s">
        <v>761</v>
      </c>
      <c r="F16" s="59" t="s">
        <v>767</v>
      </c>
      <c r="G16" s="43" t="n">
        <v>6</v>
      </c>
      <c r="H16" s="59" t="s">
        <v>651</v>
      </c>
      <c r="I16" s="70" t="s">
        <v>779</v>
      </c>
      <c r="J16" s="59" t="s">
        <v>797</v>
      </c>
    </row>
    <row r="17" customFormat="false" ht="27" hidden="false" customHeight="true" outlineLevel="0" collapsed="false">
      <c r="A17" s="27" t="s">
        <v>577</v>
      </c>
      <c r="B17" s="27" t="s">
        <v>798</v>
      </c>
      <c r="C17" s="27" t="s">
        <v>799</v>
      </c>
      <c r="D17" s="27" t="s">
        <v>98</v>
      </c>
      <c r="E17" s="27" t="s">
        <v>761</v>
      </c>
      <c r="F17" s="27" t="s">
        <v>767</v>
      </c>
      <c r="G17" s="43" t="n">
        <v>4</v>
      </c>
      <c r="H17" s="27" t="s">
        <v>531</v>
      </c>
      <c r="I17" s="70" t="s">
        <v>779</v>
      </c>
      <c r="J17" s="27" t="s">
        <v>800</v>
      </c>
    </row>
    <row r="18" customFormat="false" ht="27" hidden="false" customHeight="true" outlineLevel="0" collapsed="false">
      <c r="A18" s="59" t="s">
        <v>801</v>
      </c>
      <c r="B18" s="59" t="s">
        <v>802</v>
      </c>
      <c r="C18" s="59" t="s">
        <v>803</v>
      </c>
      <c r="D18" s="59" t="s">
        <v>98</v>
      </c>
      <c r="E18" s="59" t="s">
        <v>761</v>
      </c>
      <c r="F18" s="59" t="s">
        <v>774</v>
      </c>
      <c r="G18" s="43" t="n">
        <v>5</v>
      </c>
      <c r="H18" s="59" t="s">
        <v>512</v>
      </c>
      <c r="I18" s="70" t="s">
        <v>775</v>
      </c>
      <c r="J18" s="59" t="s">
        <v>804</v>
      </c>
    </row>
    <row r="19" customFormat="false" ht="27" hidden="false" customHeight="true" outlineLevel="0" collapsed="false">
      <c r="A19" s="27" t="s">
        <v>521</v>
      </c>
      <c r="B19" s="27" t="s">
        <v>805</v>
      </c>
      <c r="C19" s="27" t="s">
        <v>778</v>
      </c>
      <c r="D19" s="27" t="s">
        <v>98</v>
      </c>
      <c r="E19" s="27" t="s">
        <v>761</v>
      </c>
      <c r="F19" s="27" t="s">
        <v>767</v>
      </c>
      <c r="G19" s="43" t="n">
        <v>3</v>
      </c>
      <c r="H19" s="27" t="s">
        <v>512</v>
      </c>
      <c r="I19" s="70" t="s">
        <v>779</v>
      </c>
      <c r="J19" s="27" t="s">
        <v>806</v>
      </c>
    </row>
    <row r="20" customFormat="false" ht="27" hidden="false" customHeight="true" outlineLevel="0" collapsed="false">
      <c r="A20" s="59" t="s">
        <v>535</v>
      </c>
      <c r="B20" s="59" t="s">
        <v>807</v>
      </c>
      <c r="C20" s="59" t="s">
        <v>782</v>
      </c>
      <c r="D20" s="59" t="s">
        <v>98</v>
      </c>
      <c r="E20" s="59" t="s">
        <v>761</v>
      </c>
      <c r="F20" s="59" t="s">
        <v>767</v>
      </c>
      <c r="G20" s="43" t="n">
        <v>4</v>
      </c>
      <c r="H20" s="59" t="s">
        <v>651</v>
      </c>
      <c r="I20" s="70" t="s">
        <v>779</v>
      </c>
      <c r="J20" s="59" t="s">
        <v>808</v>
      </c>
    </row>
    <row r="21" customFormat="false" ht="27" hidden="false" customHeight="true" outlineLevel="0" collapsed="false">
      <c r="A21" s="27" t="s">
        <v>809</v>
      </c>
      <c r="B21" s="27" t="s">
        <v>810</v>
      </c>
      <c r="C21" s="27" t="s">
        <v>811</v>
      </c>
      <c r="D21" s="27" t="s">
        <v>98</v>
      </c>
      <c r="E21" s="27" t="s">
        <v>761</v>
      </c>
      <c r="F21" s="27" t="s">
        <v>767</v>
      </c>
      <c r="G21" s="43" t="n">
        <v>3</v>
      </c>
      <c r="H21" s="27" t="s">
        <v>531</v>
      </c>
      <c r="I21" s="70" t="s">
        <v>779</v>
      </c>
      <c r="J21" s="27" t="s">
        <v>812</v>
      </c>
    </row>
    <row r="22" customFormat="false" ht="27" hidden="false" customHeight="true" outlineLevel="0" collapsed="false">
      <c r="A22" s="59" t="s">
        <v>813</v>
      </c>
      <c r="B22" s="59" t="s">
        <v>814</v>
      </c>
      <c r="C22" s="59" t="s">
        <v>638</v>
      </c>
      <c r="D22" s="59" t="s">
        <v>98</v>
      </c>
      <c r="E22" s="59" t="s">
        <v>761</v>
      </c>
      <c r="F22" s="59" t="s">
        <v>767</v>
      </c>
      <c r="G22" s="43" t="n">
        <v>3</v>
      </c>
      <c r="H22" s="59" t="s">
        <v>795</v>
      </c>
      <c r="I22" s="70" t="s">
        <v>775</v>
      </c>
      <c r="J22" s="59" t="s">
        <v>815</v>
      </c>
    </row>
    <row r="23" customFormat="false" ht="27" hidden="false" customHeight="true" outlineLevel="0" collapsed="false">
      <c r="A23" s="27" t="s">
        <v>816</v>
      </c>
      <c r="B23" s="27" t="s">
        <v>817</v>
      </c>
      <c r="C23" s="27" t="s">
        <v>818</v>
      </c>
      <c r="D23" s="27" t="s">
        <v>98</v>
      </c>
      <c r="E23" s="27" t="s">
        <v>819</v>
      </c>
      <c r="F23" s="27" t="s">
        <v>100</v>
      </c>
      <c r="G23" s="43" t="n">
        <v>3</v>
      </c>
      <c r="H23" s="27" t="s">
        <v>772</v>
      </c>
      <c r="I23" s="70" t="s">
        <v>775</v>
      </c>
      <c r="J23" s="27" t="s">
        <v>820</v>
      </c>
    </row>
    <row r="24" customFormat="false" ht="27" hidden="false" customHeight="true" outlineLevel="0" collapsed="false">
      <c r="A24" s="59" t="s">
        <v>544</v>
      </c>
      <c r="B24" s="59" t="s">
        <v>540</v>
      </c>
      <c r="C24" s="59" t="s">
        <v>782</v>
      </c>
      <c r="D24" s="59" t="s">
        <v>100</v>
      </c>
      <c r="E24" s="59" t="s">
        <v>761</v>
      </c>
      <c r="F24" s="59" t="s">
        <v>428</v>
      </c>
      <c r="G24" s="43" t="n">
        <v>8</v>
      </c>
      <c r="H24" s="59" t="s">
        <v>531</v>
      </c>
      <c r="I24" s="70" t="s">
        <v>779</v>
      </c>
      <c r="J24" s="59" t="s">
        <v>821</v>
      </c>
    </row>
    <row r="25" customFormat="false" ht="27" hidden="false" customHeight="true" outlineLevel="0" collapsed="false">
      <c r="A25" s="27" t="s">
        <v>733</v>
      </c>
      <c r="B25" s="27" t="s">
        <v>728</v>
      </c>
      <c r="C25" s="27" t="s">
        <v>782</v>
      </c>
      <c r="D25" s="27" t="s">
        <v>100</v>
      </c>
      <c r="E25" s="27" t="s">
        <v>761</v>
      </c>
      <c r="F25" s="27" t="s">
        <v>428</v>
      </c>
      <c r="G25" s="43" t="n">
        <v>5</v>
      </c>
      <c r="H25" s="27" t="s">
        <v>544</v>
      </c>
      <c r="I25" s="70" t="s">
        <v>779</v>
      </c>
      <c r="J25" s="27" t="s">
        <v>822</v>
      </c>
    </row>
    <row r="26" customFormat="false" ht="27" hidden="false" customHeight="true" outlineLevel="0" collapsed="false">
      <c r="A26" s="59" t="s">
        <v>823</v>
      </c>
      <c r="B26" s="59" t="s">
        <v>824</v>
      </c>
      <c r="C26" s="59" t="s">
        <v>782</v>
      </c>
      <c r="D26" s="59" t="s">
        <v>100</v>
      </c>
      <c r="E26" s="59" t="s">
        <v>761</v>
      </c>
      <c r="F26" s="59" t="s">
        <v>428</v>
      </c>
      <c r="G26" s="43" t="n">
        <v>10</v>
      </c>
      <c r="H26" s="59" t="s">
        <v>544</v>
      </c>
      <c r="I26" s="70" t="s">
        <v>775</v>
      </c>
      <c r="J26" s="59" t="s">
        <v>825</v>
      </c>
    </row>
    <row r="27" customFormat="false" ht="27" hidden="false" customHeight="true" outlineLevel="0" collapsed="false">
      <c r="A27" s="27" t="s">
        <v>687</v>
      </c>
      <c r="B27" s="27" t="s">
        <v>682</v>
      </c>
      <c r="C27" s="27" t="s">
        <v>29</v>
      </c>
      <c r="D27" s="27" t="s">
        <v>100</v>
      </c>
      <c r="E27" s="27" t="s">
        <v>761</v>
      </c>
      <c r="F27" s="27" t="s">
        <v>428</v>
      </c>
      <c r="G27" s="43" t="n">
        <v>10</v>
      </c>
      <c r="H27" s="27" t="s">
        <v>790</v>
      </c>
      <c r="I27" s="70" t="s">
        <v>779</v>
      </c>
      <c r="J27" s="27" t="s">
        <v>826</v>
      </c>
    </row>
    <row r="28" customFormat="false" ht="27" hidden="false" customHeight="true" outlineLevel="0" collapsed="false">
      <c r="A28" s="59" t="s">
        <v>696</v>
      </c>
      <c r="B28" s="59" t="s">
        <v>827</v>
      </c>
      <c r="C28" s="59" t="s">
        <v>32</v>
      </c>
      <c r="D28" s="59" t="s">
        <v>100</v>
      </c>
      <c r="E28" s="59" t="s">
        <v>761</v>
      </c>
      <c r="F28" s="59" t="s">
        <v>428</v>
      </c>
      <c r="G28" s="43" t="n">
        <v>6</v>
      </c>
      <c r="H28" s="59" t="s">
        <v>790</v>
      </c>
      <c r="I28" s="70" t="s">
        <v>779</v>
      </c>
      <c r="J28" s="59" t="s">
        <v>828</v>
      </c>
    </row>
    <row r="29" customFormat="false" ht="27" hidden="false" customHeight="true" outlineLevel="0" collapsed="false">
      <c r="A29" s="27" t="s">
        <v>678</v>
      </c>
      <c r="B29" s="27" t="s">
        <v>829</v>
      </c>
      <c r="C29" s="27" t="s">
        <v>26</v>
      </c>
      <c r="D29" s="27" t="s">
        <v>100</v>
      </c>
      <c r="E29" s="27" t="s">
        <v>819</v>
      </c>
      <c r="F29" s="27" t="s">
        <v>428</v>
      </c>
      <c r="G29" s="43" t="n">
        <v>5</v>
      </c>
      <c r="H29" s="27" t="s">
        <v>669</v>
      </c>
      <c r="I29" s="70" t="s">
        <v>779</v>
      </c>
      <c r="J29" s="27" t="s">
        <v>830</v>
      </c>
    </row>
    <row r="30" customFormat="false" ht="27" hidden="false" customHeight="true" outlineLevel="0" collapsed="false">
      <c r="A30" s="59" t="s">
        <v>723</v>
      </c>
      <c r="B30" s="59" t="s">
        <v>831</v>
      </c>
      <c r="C30" s="59" t="s">
        <v>778</v>
      </c>
      <c r="D30" s="59" t="s">
        <v>100</v>
      </c>
      <c r="E30" s="59" t="s">
        <v>761</v>
      </c>
      <c r="F30" s="59" t="s">
        <v>767</v>
      </c>
      <c r="G30" s="43" t="n">
        <v>5</v>
      </c>
      <c r="H30" s="59" t="s">
        <v>669</v>
      </c>
      <c r="I30" s="70" t="s">
        <v>779</v>
      </c>
      <c r="J30" s="59" t="s">
        <v>832</v>
      </c>
    </row>
    <row r="31" customFormat="false" ht="27" hidden="false" customHeight="true" outlineLevel="0" collapsed="false">
      <c r="A31" s="27" t="s">
        <v>588</v>
      </c>
      <c r="B31" s="27" t="s">
        <v>833</v>
      </c>
      <c r="C31" s="27" t="s">
        <v>472</v>
      </c>
      <c r="D31" s="27" t="s">
        <v>100</v>
      </c>
      <c r="E31" s="27" t="s">
        <v>761</v>
      </c>
      <c r="F31" s="27" t="s">
        <v>767</v>
      </c>
      <c r="G31" s="43" t="n">
        <v>8</v>
      </c>
      <c r="H31" s="27" t="s">
        <v>512</v>
      </c>
      <c r="I31" s="70" t="s">
        <v>779</v>
      </c>
      <c r="J31" s="27" t="s">
        <v>834</v>
      </c>
    </row>
    <row r="32" customFormat="false" ht="27" hidden="false" customHeight="true" outlineLevel="0" collapsed="false">
      <c r="A32" s="59" t="s">
        <v>835</v>
      </c>
      <c r="B32" s="59" t="s">
        <v>836</v>
      </c>
      <c r="C32" s="59" t="s">
        <v>35</v>
      </c>
      <c r="D32" s="59" t="s">
        <v>100</v>
      </c>
      <c r="E32" s="59" t="s">
        <v>761</v>
      </c>
      <c r="F32" s="59" t="s">
        <v>774</v>
      </c>
      <c r="G32" s="43" t="n">
        <v>8</v>
      </c>
      <c r="H32" s="59" t="s">
        <v>705</v>
      </c>
      <c r="I32" s="70" t="s">
        <v>779</v>
      </c>
      <c r="J32" s="59" t="s">
        <v>837</v>
      </c>
    </row>
    <row r="33" customFormat="false" ht="27" hidden="false" customHeight="true" outlineLevel="0" collapsed="false">
      <c r="A33" s="27" t="s">
        <v>714</v>
      </c>
      <c r="B33" s="27" t="s">
        <v>838</v>
      </c>
      <c r="C33" s="27" t="s">
        <v>35</v>
      </c>
      <c r="D33" s="27" t="s">
        <v>100</v>
      </c>
      <c r="E33" s="27" t="s">
        <v>761</v>
      </c>
      <c r="F33" s="27" t="s">
        <v>767</v>
      </c>
      <c r="G33" s="43" t="n">
        <v>6</v>
      </c>
      <c r="H33" s="27" t="s">
        <v>705</v>
      </c>
      <c r="I33" s="70" t="s">
        <v>775</v>
      </c>
      <c r="J33" s="27" t="s">
        <v>839</v>
      </c>
    </row>
    <row r="34" customFormat="false" ht="27" hidden="false" customHeight="true" outlineLevel="0" collapsed="false">
      <c r="A34" s="59" t="s">
        <v>840</v>
      </c>
      <c r="B34" s="59" t="s">
        <v>841</v>
      </c>
      <c r="C34" s="59" t="s">
        <v>842</v>
      </c>
      <c r="D34" s="59" t="s">
        <v>100</v>
      </c>
      <c r="E34" s="59" t="s">
        <v>761</v>
      </c>
      <c r="F34" s="59" t="s">
        <v>428</v>
      </c>
      <c r="G34" s="43" t="n">
        <v>6</v>
      </c>
      <c r="H34" s="59" t="s">
        <v>588</v>
      </c>
      <c r="I34" s="70" t="s">
        <v>762</v>
      </c>
      <c r="J34" s="59" t="s">
        <v>843</v>
      </c>
    </row>
    <row r="35" customFormat="false" ht="27" hidden="false" customHeight="true" outlineLevel="0" collapsed="false">
      <c r="A35" s="27" t="s">
        <v>844</v>
      </c>
      <c r="B35" s="27" t="s">
        <v>845</v>
      </c>
      <c r="C35" s="27" t="s">
        <v>842</v>
      </c>
      <c r="D35" s="27" t="s">
        <v>100</v>
      </c>
      <c r="E35" s="27" t="s">
        <v>761</v>
      </c>
      <c r="F35" s="27" t="s">
        <v>428</v>
      </c>
      <c r="G35" s="43" t="n">
        <v>6</v>
      </c>
      <c r="H35" s="27" t="s">
        <v>840</v>
      </c>
      <c r="I35" s="70" t="s">
        <v>762</v>
      </c>
      <c r="J35" s="27" t="s">
        <v>846</v>
      </c>
    </row>
    <row r="36" customFormat="false" ht="27" hidden="false" customHeight="true" outlineLevel="0" collapsed="false">
      <c r="A36" s="59" t="s">
        <v>847</v>
      </c>
      <c r="B36" s="59" t="s">
        <v>848</v>
      </c>
      <c r="C36" s="59" t="s">
        <v>842</v>
      </c>
      <c r="D36" s="59" t="s">
        <v>100</v>
      </c>
      <c r="E36" s="59" t="s">
        <v>761</v>
      </c>
      <c r="F36" s="59" t="s">
        <v>428</v>
      </c>
      <c r="G36" s="43" t="n">
        <v>3</v>
      </c>
      <c r="H36" s="59" t="s">
        <v>844</v>
      </c>
      <c r="I36" s="70" t="s">
        <v>762</v>
      </c>
      <c r="J36" s="59" t="s">
        <v>849</v>
      </c>
    </row>
    <row r="37" customFormat="false" ht="27" hidden="false" customHeight="true" outlineLevel="0" collapsed="false">
      <c r="A37" s="27" t="s">
        <v>850</v>
      </c>
      <c r="B37" s="27" t="s">
        <v>851</v>
      </c>
      <c r="C37" s="27" t="s">
        <v>852</v>
      </c>
      <c r="D37" s="27" t="s">
        <v>100</v>
      </c>
      <c r="E37" s="27" t="s">
        <v>819</v>
      </c>
      <c r="F37" s="27" t="s">
        <v>428</v>
      </c>
      <c r="G37" s="43" t="n">
        <v>6</v>
      </c>
      <c r="H37" s="27" t="s">
        <v>512</v>
      </c>
      <c r="I37" s="70" t="s">
        <v>762</v>
      </c>
      <c r="J37" s="27" t="s">
        <v>853</v>
      </c>
    </row>
    <row r="38" customFormat="false" ht="27" hidden="false" customHeight="true" outlineLevel="0" collapsed="false">
      <c r="A38" s="59" t="s">
        <v>854</v>
      </c>
      <c r="B38" s="59" t="s">
        <v>855</v>
      </c>
      <c r="C38" s="59" t="s">
        <v>472</v>
      </c>
      <c r="D38" s="59" t="s">
        <v>100</v>
      </c>
      <c r="E38" s="59" t="s">
        <v>819</v>
      </c>
      <c r="F38" s="59" t="s">
        <v>428</v>
      </c>
      <c r="G38" s="43" t="n">
        <v>5</v>
      </c>
      <c r="H38" s="59" t="s">
        <v>850</v>
      </c>
      <c r="I38" s="70" t="s">
        <v>762</v>
      </c>
      <c r="J38" s="59" t="s">
        <v>856</v>
      </c>
    </row>
    <row r="39" customFormat="false" ht="27" hidden="false" customHeight="true" outlineLevel="0" collapsed="false">
      <c r="A39" s="27" t="s">
        <v>580</v>
      </c>
      <c r="B39" s="27" t="s">
        <v>857</v>
      </c>
      <c r="C39" s="27" t="s">
        <v>799</v>
      </c>
      <c r="D39" s="27" t="s">
        <v>100</v>
      </c>
      <c r="E39" s="27" t="s">
        <v>761</v>
      </c>
      <c r="F39" s="27" t="s">
        <v>767</v>
      </c>
      <c r="G39" s="43" t="n">
        <v>5</v>
      </c>
      <c r="H39" s="27" t="s">
        <v>544</v>
      </c>
      <c r="I39" s="70" t="s">
        <v>779</v>
      </c>
      <c r="J39" s="27" t="s">
        <v>858</v>
      </c>
    </row>
    <row r="40" customFormat="false" ht="27" hidden="false" customHeight="true" outlineLevel="0" collapsed="false">
      <c r="A40" s="59" t="s">
        <v>584</v>
      </c>
      <c r="B40" s="59" t="s">
        <v>581</v>
      </c>
      <c r="C40" s="59" t="s">
        <v>472</v>
      </c>
      <c r="D40" s="59" t="s">
        <v>100</v>
      </c>
      <c r="E40" s="59" t="s">
        <v>761</v>
      </c>
      <c r="F40" s="59" t="s">
        <v>428</v>
      </c>
      <c r="G40" s="43" t="n">
        <v>4</v>
      </c>
      <c r="H40" s="59" t="s">
        <v>512</v>
      </c>
      <c r="I40" s="70" t="s">
        <v>775</v>
      </c>
      <c r="J40" s="59" t="s">
        <v>859</v>
      </c>
    </row>
    <row r="41" customFormat="false" ht="27" hidden="false" customHeight="true" outlineLevel="0" collapsed="false">
      <c r="A41" s="27" t="s">
        <v>592</v>
      </c>
      <c r="B41" s="27" t="s">
        <v>860</v>
      </c>
      <c r="C41" s="27" t="s">
        <v>472</v>
      </c>
      <c r="D41" s="27" t="s">
        <v>100</v>
      </c>
      <c r="E41" s="27" t="s">
        <v>761</v>
      </c>
      <c r="F41" s="27" t="s">
        <v>767</v>
      </c>
      <c r="G41" s="43" t="n">
        <v>6</v>
      </c>
      <c r="H41" s="27" t="s">
        <v>588</v>
      </c>
      <c r="I41" s="70" t="s">
        <v>779</v>
      </c>
      <c r="J41" s="27" t="s">
        <v>861</v>
      </c>
    </row>
    <row r="42" customFormat="false" ht="27" hidden="false" customHeight="true" outlineLevel="0" collapsed="false">
      <c r="A42" s="59" t="s">
        <v>862</v>
      </c>
      <c r="B42" s="59" t="s">
        <v>863</v>
      </c>
      <c r="C42" s="59" t="s">
        <v>472</v>
      </c>
      <c r="D42" s="59" t="s">
        <v>100</v>
      </c>
      <c r="E42" s="59" t="s">
        <v>819</v>
      </c>
      <c r="F42" s="59" t="s">
        <v>428</v>
      </c>
      <c r="G42" s="43" t="n">
        <v>2</v>
      </c>
      <c r="H42" s="59" t="s">
        <v>854</v>
      </c>
      <c r="I42" s="70" t="s">
        <v>775</v>
      </c>
      <c r="J42" s="59" t="s">
        <v>864</v>
      </c>
    </row>
    <row r="43" customFormat="false" ht="27" hidden="false" customHeight="true" outlineLevel="0" collapsed="false">
      <c r="A43" s="27" t="s">
        <v>865</v>
      </c>
      <c r="B43" s="27" t="s">
        <v>866</v>
      </c>
      <c r="C43" s="27" t="s">
        <v>867</v>
      </c>
      <c r="D43" s="27" t="s">
        <v>100</v>
      </c>
      <c r="E43" s="27" t="s">
        <v>761</v>
      </c>
      <c r="F43" s="27" t="s">
        <v>867</v>
      </c>
      <c r="G43" s="43" t="n">
        <v>10</v>
      </c>
      <c r="H43" s="27" t="s">
        <v>531</v>
      </c>
      <c r="I43" s="70" t="s">
        <v>775</v>
      </c>
      <c r="J43" s="27" t="s">
        <v>868</v>
      </c>
    </row>
    <row r="44" customFormat="false" ht="27" hidden="false" customHeight="true" outlineLevel="0" collapsed="false">
      <c r="A44" s="59" t="s">
        <v>869</v>
      </c>
      <c r="B44" s="59" t="s">
        <v>870</v>
      </c>
      <c r="C44" s="59" t="s">
        <v>766</v>
      </c>
      <c r="D44" s="59" t="s">
        <v>100</v>
      </c>
      <c r="E44" s="59" t="s">
        <v>761</v>
      </c>
      <c r="F44" s="59" t="s">
        <v>767</v>
      </c>
      <c r="G44" s="43" t="n">
        <v>5</v>
      </c>
      <c r="H44" s="59" t="s">
        <v>531</v>
      </c>
      <c r="I44" s="70" t="s">
        <v>779</v>
      </c>
      <c r="J44" s="59" t="s">
        <v>871</v>
      </c>
    </row>
    <row r="45" customFormat="false" ht="27" hidden="false" customHeight="true" outlineLevel="0" collapsed="false">
      <c r="A45" s="27" t="s">
        <v>872</v>
      </c>
      <c r="B45" s="27" t="s">
        <v>873</v>
      </c>
      <c r="C45" s="27" t="s">
        <v>803</v>
      </c>
      <c r="D45" s="27" t="s">
        <v>100</v>
      </c>
      <c r="E45" s="27" t="s">
        <v>761</v>
      </c>
      <c r="F45" s="27" t="s">
        <v>767</v>
      </c>
      <c r="G45" s="43" t="n">
        <v>4</v>
      </c>
      <c r="H45" s="27" t="s">
        <v>801</v>
      </c>
      <c r="I45" s="70" t="s">
        <v>779</v>
      </c>
      <c r="J45" s="27" t="s">
        <v>874</v>
      </c>
    </row>
    <row r="46" customFormat="false" ht="27" hidden="false" customHeight="true" outlineLevel="0" collapsed="false">
      <c r="A46" s="59" t="s">
        <v>875</v>
      </c>
      <c r="B46" s="59" t="s">
        <v>876</v>
      </c>
      <c r="C46" s="59" t="s">
        <v>638</v>
      </c>
      <c r="D46" s="59" t="s">
        <v>100</v>
      </c>
      <c r="E46" s="59" t="s">
        <v>761</v>
      </c>
      <c r="F46" s="59" t="s">
        <v>428</v>
      </c>
      <c r="G46" s="43" t="n">
        <v>5</v>
      </c>
      <c r="H46" s="59" t="s">
        <v>795</v>
      </c>
      <c r="I46" s="70" t="s">
        <v>775</v>
      </c>
      <c r="J46" s="59" t="s">
        <v>877</v>
      </c>
    </row>
    <row r="47" customFormat="false" ht="27" hidden="false" customHeight="true" outlineLevel="0" collapsed="false">
      <c r="A47" s="27" t="s">
        <v>878</v>
      </c>
      <c r="B47" s="27" t="s">
        <v>879</v>
      </c>
      <c r="C47" s="27" t="s">
        <v>852</v>
      </c>
      <c r="D47" s="27" t="s">
        <v>100</v>
      </c>
      <c r="E47" s="27" t="s">
        <v>761</v>
      </c>
      <c r="F47" s="27" t="s">
        <v>428</v>
      </c>
      <c r="G47" s="43" t="n">
        <v>4</v>
      </c>
      <c r="H47" s="27" t="s">
        <v>512</v>
      </c>
      <c r="I47" s="70" t="s">
        <v>762</v>
      </c>
      <c r="J47" s="27" t="s">
        <v>880</v>
      </c>
    </row>
    <row r="48" customFormat="false" ht="27" hidden="false" customHeight="true" outlineLevel="0" collapsed="false">
      <c r="A48" s="59" t="s">
        <v>881</v>
      </c>
      <c r="B48" s="59" t="s">
        <v>882</v>
      </c>
      <c r="C48" s="59" t="s">
        <v>542</v>
      </c>
      <c r="D48" s="59" t="s">
        <v>100</v>
      </c>
      <c r="E48" s="59" t="s">
        <v>761</v>
      </c>
      <c r="F48" s="59" t="s">
        <v>100</v>
      </c>
      <c r="G48" s="43" t="n">
        <v>3</v>
      </c>
      <c r="H48" s="59" t="s">
        <v>844</v>
      </c>
      <c r="I48" s="70" t="s">
        <v>775</v>
      </c>
      <c r="J48" s="59" t="s">
        <v>883</v>
      </c>
    </row>
    <row r="49" customFormat="false" ht="27" hidden="false" customHeight="true" outlineLevel="0" collapsed="false">
      <c r="A49" s="27" t="s">
        <v>884</v>
      </c>
      <c r="B49" s="27" t="s">
        <v>885</v>
      </c>
      <c r="C49" s="27" t="s">
        <v>886</v>
      </c>
      <c r="D49" s="27" t="s">
        <v>100</v>
      </c>
      <c r="E49" s="27" t="s">
        <v>819</v>
      </c>
      <c r="F49" s="27" t="s">
        <v>767</v>
      </c>
      <c r="G49" s="43" t="n">
        <v>2</v>
      </c>
      <c r="H49" s="27" t="s">
        <v>872</v>
      </c>
      <c r="I49" s="70" t="s">
        <v>775</v>
      </c>
      <c r="J49" s="27" t="s">
        <v>887</v>
      </c>
    </row>
    <row r="50" customFormat="false" ht="27" hidden="false" customHeight="true" outlineLevel="0" collapsed="false">
      <c r="A50" s="59" t="s">
        <v>888</v>
      </c>
      <c r="B50" s="59" t="s">
        <v>889</v>
      </c>
      <c r="C50" s="59" t="s">
        <v>890</v>
      </c>
      <c r="D50" s="59" t="s">
        <v>100</v>
      </c>
      <c r="E50" s="59" t="s">
        <v>761</v>
      </c>
      <c r="F50" s="59" t="s">
        <v>100</v>
      </c>
      <c r="G50" s="43" t="n">
        <v>4</v>
      </c>
      <c r="H50" s="59" t="s">
        <v>809</v>
      </c>
      <c r="I50" s="70" t="s">
        <v>775</v>
      </c>
      <c r="J50" s="59" t="s">
        <v>891</v>
      </c>
    </row>
    <row r="51" customFormat="false" ht="27" hidden="false" customHeight="true" outlineLevel="0" collapsed="false">
      <c r="A51" s="27" t="s">
        <v>892</v>
      </c>
      <c r="B51" s="27" t="s">
        <v>893</v>
      </c>
      <c r="C51" s="27" t="s">
        <v>894</v>
      </c>
      <c r="D51" s="27" t="s">
        <v>102</v>
      </c>
      <c r="E51" s="27" t="s">
        <v>761</v>
      </c>
      <c r="F51" s="27" t="s">
        <v>767</v>
      </c>
      <c r="G51" s="43" t="n">
        <v>8</v>
      </c>
      <c r="H51" s="27" t="s">
        <v>823</v>
      </c>
      <c r="I51" s="70" t="s">
        <v>775</v>
      </c>
      <c r="J51" s="27" t="s">
        <v>895</v>
      </c>
    </row>
    <row r="52" customFormat="false" ht="27" hidden="false" customHeight="true" outlineLevel="0" collapsed="false">
      <c r="A52" s="59" t="s">
        <v>896</v>
      </c>
      <c r="B52" s="59" t="s">
        <v>897</v>
      </c>
      <c r="C52" s="59" t="s">
        <v>894</v>
      </c>
      <c r="D52" s="59" t="s">
        <v>102</v>
      </c>
      <c r="E52" s="59" t="s">
        <v>761</v>
      </c>
      <c r="F52" s="59" t="s">
        <v>428</v>
      </c>
      <c r="G52" s="43" t="n">
        <v>5</v>
      </c>
      <c r="H52" s="59" t="s">
        <v>714</v>
      </c>
      <c r="I52" s="70" t="s">
        <v>775</v>
      </c>
      <c r="J52" s="59" t="s">
        <v>898</v>
      </c>
    </row>
    <row r="53" customFormat="false" ht="27" hidden="false" customHeight="true" outlineLevel="0" collapsed="false">
      <c r="A53" s="27" t="s">
        <v>568</v>
      </c>
      <c r="B53" s="27" t="s">
        <v>899</v>
      </c>
      <c r="C53" s="27" t="s">
        <v>894</v>
      </c>
      <c r="D53" s="27" t="s">
        <v>102</v>
      </c>
      <c r="E53" s="27" t="s">
        <v>761</v>
      </c>
      <c r="F53" s="27" t="s">
        <v>428</v>
      </c>
      <c r="G53" s="43" t="n">
        <v>6</v>
      </c>
      <c r="H53" s="27" t="s">
        <v>896</v>
      </c>
      <c r="I53" s="70" t="s">
        <v>775</v>
      </c>
      <c r="J53" s="27" t="s">
        <v>900</v>
      </c>
    </row>
    <row r="54" customFormat="false" ht="27" hidden="false" customHeight="true" outlineLevel="0" collapsed="false">
      <c r="A54" s="59" t="s">
        <v>901</v>
      </c>
      <c r="B54" s="59" t="s">
        <v>902</v>
      </c>
      <c r="C54" s="59" t="s">
        <v>782</v>
      </c>
      <c r="D54" s="59" t="s">
        <v>102</v>
      </c>
      <c r="E54" s="59" t="s">
        <v>819</v>
      </c>
      <c r="F54" s="59" t="s">
        <v>428</v>
      </c>
      <c r="G54" s="43" t="n">
        <v>6</v>
      </c>
      <c r="H54" s="59" t="s">
        <v>823</v>
      </c>
      <c r="I54" s="70" t="s">
        <v>775</v>
      </c>
      <c r="J54" s="59" t="s">
        <v>903</v>
      </c>
    </row>
    <row r="55" customFormat="false" ht="27" hidden="false" customHeight="true" outlineLevel="0" collapsed="false">
      <c r="A55" s="27" t="s">
        <v>904</v>
      </c>
      <c r="B55" s="27" t="s">
        <v>905</v>
      </c>
      <c r="C55" s="27" t="s">
        <v>472</v>
      </c>
      <c r="D55" s="27" t="s">
        <v>102</v>
      </c>
      <c r="E55" s="27" t="s">
        <v>906</v>
      </c>
      <c r="F55" s="27" t="s">
        <v>428</v>
      </c>
      <c r="G55" s="43" t="n">
        <v>4</v>
      </c>
      <c r="H55" s="27" t="s">
        <v>847</v>
      </c>
      <c r="I55" s="70" t="s">
        <v>775</v>
      </c>
      <c r="J55" s="27" t="s">
        <v>907</v>
      </c>
    </row>
    <row r="56" customFormat="false" ht="27" hidden="false" customHeight="true" outlineLevel="0" collapsed="false">
      <c r="A56" s="59" t="s">
        <v>908</v>
      </c>
      <c r="B56" s="59" t="s">
        <v>909</v>
      </c>
      <c r="C56" s="59" t="s">
        <v>26</v>
      </c>
      <c r="D56" s="59" t="s">
        <v>102</v>
      </c>
      <c r="E56" s="59" t="s">
        <v>906</v>
      </c>
      <c r="F56" s="59" t="s">
        <v>428</v>
      </c>
      <c r="G56" s="43" t="n">
        <v>4</v>
      </c>
      <c r="H56" s="59" t="s">
        <v>669</v>
      </c>
      <c r="I56" s="70" t="s">
        <v>775</v>
      </c>
      <c r="J56" s="59" t="s">
        <v>910</v>
      </c>
    </row>
    <row r="57" customFormat="false" ht="27" hidden="false" customHeight="true" outlineLevel="0" collapsed="false">
      <c r="A57" s="27" t="s">
        <v>911</v>
      </c>
      <c r="B57" s="27" t="s">
        <v>912</v>
      </c>
      <c r="C57" s="27" t="s">
        <v>852</v>
      </c>
      <c r="D57" s="27" t="s">
        <v>102</v>
      </c>
      <c r="E57" s="27" t="s">
        <v>761</v>
      </c>
      <c r="F57" s="27" t="s">
        <v>767</v>
      </c>
      <c r="G57" s="43" t="n">
        <v>8</v>
      </c>
      <c r="H57" s="27" t="s">
        <v>892</v>
      </c>
      <c r="I57" s="70" t="s">
        <v>775</v>
      </c>
      <c r="J57" s="27" t="s">
        <v>913</v>
      </c>
    </row>
    <row r="58" customFormat="false" ht="27" hidden="false" customHeight="true" outlineLevel="0" collapsed="false">
      <c r="A58" s="59" t="s">
        <v>914</v>
      </c>
      <c r="B58" s="59" t="s">
        <v>915</v>
      </c>
      <c r="C58" s="59" t="s">
        <v>638</v>
      </c>
      <c r="D58" s="59" t="s">
        <v>102</v>
      </c>
      <c r="E58" s="59" t="s">
        <v>819</v>
      </c>
      <c r="F58" s="59" t="s">
        <v>767</v>
      </c>
      <c r="G58" s="43" t="n">
        <v>4</v>
      </c>
      <c r="H58" s="59" t="s">
        <v>795</v>
      </c>
      <c r="I58" s="70" t="s">
        <v>775</v>
      </c>
      <c r="J58" s="59" t="s">
        <v>916</v>
      </c>
    </row>
    <row r="59" customFormat="false" ht="27" hidden="false" customHeight="true" outlineLevel="0" collapsed="false">
      <c r="A59" s="27" t="s">
        <v>917</v>
      </c>
      <c r="B59" s="27" t="s">
        <v>918</v>
      </c>
      <c r="C59" s="27" t="s">
        <v>778</v>
      </c>
      <c r="D59" s="27" t="s">
        <v>102</v>
      </c>
      <c r="E59" s="27" t="s">
        <v>761</v>
      </c>
      <c r="F59" s="27" t="s">
        <v>428</v>
      </c>
      <c r="G59" s="43" t="n">
        <v>5</v>
      </c>
      <c r="H59" s="27" t="s">
        <v>809</v>
      </c>
      <c r="I59" s="70" t="s">
        <v>775</v>
      </c>
      <c r="J59" s="27" t="s">
        <v>919</v>
      </c>
    </row>
    <row r="60" customFormat="false" ht="27" hidden="false" customHeight="true" outlineLevel="0" collapsed="false">
      <c r="A60" s="59" t="s">
        <v>920</v>
      </c>
      <c r="B60" s="59" t="s">
        <v>921</v>
      </c>
      <c r="C60" s="59" t="s">
        <v>922</v>
      </c>
      <c r="D60" s="59" t="s">
        <v>102</v>
      </c>
      <c r="E60" s="59" t="s">
        <v>761</v>
      </c>
      <c r="F60" s="59" t="s">
        <v>922</v>
      </c>
      <c r="G60" s="43" t="n">
        <v>4</v>
      </c>
      <c r="H60" s="59" t="s">
        <v>911</v>
      </c>
      <c r="I60" s="70" t="s">
        <v>775</v>
      </c>
      <c r="J60" s="59" t="s">
        <v>923</v>
      </c>
    </row>
    <row r="61" customFormat="false" ht="27" hidden="false" customHeight="true" outlineLevel="0" collapsed="false">
      <c r="A61" s="27" t="s">
        <v>924</v>
      </c>
      <c r="B61" s="27" t="s">
        <v>925</v>
      </c>
      <c r="C61" s="27" t="s">
        <v>852</v>
      </c>
      <c r="D61" s="27" t="s">
        <v>104</v>
      </c>
      <c r="E61" s="27" t="s">
        <v>761</v>
      </c>
      <c r="F61" s="27" t="s">
        <v>428</v>
      </c>
      <c r="G61" s="43" t="n">
        <v>3</v>
      </c>
      <c r="H61" s="27" t="s">
        <v>911</v>
      </c>
      <c r="I61" s="70" t="s">
        <v>775</v>
      </c>
      <c r="J61" s="27" t="s">
        <v>926</v>
      </c>
    </row>
    <row r="62" customFormat="false" ht="27" hidden="false" customHeight="true" outlineLevel="0" collapsed="false">
      <c r="A62" s="59" t="s">
        <v>927</v>
      </c>
      <c r="B62" s="59" t="s">
        <v>928</v>
      </c>
      <c r="C62" s="59" t="s">
        <v>638</v>
      </c>
      <c r="D62" s="59" t="s">
        <v>104</v>
      </c>
      <c r="E62" s="59" t="s">
        <v>761</v>
      </c>
      <c r="F62" s="59" t="s">
        <v>767</v>
      </c>
      <c r="G62" s="43" t="n">
        <v>5</v>
      </c>
      <c r="H62" s="59" t="s">
        <v>795</v>
      </c>
      <c r="I62" s="70" t="s">
        <v>775</v>
      </c>
      <c r="J62" s="59" t="s">
        <v>929</v>
      </c>
    </row>
    <row r="63" customFormat="false" ht="27" hidden="false" customHeight="true" outlineLevel="0" collapsed="false">
      <c r="A63" s="27" t="s">
        <v>930</v>
      </c>
      <c r="B63" s="27" t="s">
        <v>931</v>
      </c>
      <c r="C63" s="27" t="s">
        <v>932</v>
      </c>
      <c r="D63" s="27" t="s">
        <v>104</v>
      </c>
      <c r="E63" s="27" t="s">
        <v>761</v>
      </c>
      <c r="F63" s="27" t="s">
        <v>428</v>
      </c>
      <c r="G63" s="43" t="n">
        <v>6</v>
      </c>
      <c r="H63" s="27" t="s">
        <v>911</v>
      </c>
      <c r="I63" s="70" t="s">
        <v>779</v>
      </c>
      <c r="J63" s="27" t="s">
        <v>933</v>
      </c>
    </row>
    <row r="64" customFormat="false" ht="27" hidden="false" customHeight="true" outlineLevel="0" collapsed="false">
      <c r="A64" s="59" t="s">
        <v>934</v>
      </c>
      <c r="B64" s="59" t="s">
        <v>935</v>
      </c>
      <c r="C64" s="59" t="s">
        <v>886</v>
      </c>
      <c r="D64" s="59" t="s">
        <v>104</v>
      </c>
      <c r="E64" s="59" t="s">
        <v>761</v>
      </c>
      <c r="F64" s="59" t="s">
        <v>428</v>
      </c>
      <c r="G64" s="43" t="n">
        <v>3</v>
      </c>
      <c r="H64" s="59" t="s">
        <v>924</v>
      </c>
      <c r="I64" s="70" t="s">
        <v>775</v>
      </c>
      <c r="J64" s="59" t="s">
        <v>936</v>
      </c>
    </row>
    <row r="65" customFormat="false" ht="27" hidden="false" customHeight="true" outlineLevel="0" collapsed="false">
      <c r="A65" s="27" t="s">
        <v>937</v>
      </c>
      <c r="B65" s="27" t="s">
        <v>938</v>
      </c>
      <c r="C65" s="27" t="s">
        <v>766</v>
      </c>
      <c r="D65" s="27" t="s">
        <v>104</v>
      </c>
      <c r="E65" s="27" t="s">
        <v>761</v>
      </c>
      <c r="F65" s="27" t="s">
        <v>767</v>
      </c>
      <c r="G65" s="43" t="n">
        <v>4</v>
      </c>
      <c r="H65" s="27" t="s">
        <v>911</v>
      </c>
      <c r="I65" s="70" t="s">
        <v>775</v>
      </c>
      <c r="J65" s="27" t="s">
        <v>939</v>
      </c>
    </row>
    <row r="66" customFormat="false" ht="27" hidden="false" customHeight="true" outlineLevel="0" collapsed="false">
      <c r="A66" s="59" t="s">
        <v>940</v>
      </c>
      <c r="B66" s="59" t="s">
        <v>941</v>
      </c>
      <c r="C66" s="59" t="s">
        <v>818</v>
      </c>
      <c r="D66" s="59" t="s">
        <v>104</v>
      </c>
      <c r="E66" s="59" t="s">
        <v>819</v>
      </c>
      <c r="F66" s="59" t="s">
        <v>767</v>
      </c>
      <c r="G66" s="43" t="n">
        <v>4</v>
      </c>
      <c r="H66" s="59" t="s">
        <v>869</v>
      </c>
      <c r="I66" s="70" t="s">
        <v>775</v>
      </c>
      <c r="J66" s="59" t="s">
        <v>942</v>
      </c>
    </row>
    <row r="67" customFormat="false" ht="27" hidden="false" customHeight="true" outlineLevel="0" collapsed="false">
      <c r="A67" s="27" t="s">
        <v>943</v>
      </c>
      <c r="B67" s="27" t="s">
        <v>944</v>
      </c>
      <c r="C67" s="27" t="s">
        <v>818</v>
      </c>
      <c r="D67" s="27" t="s">
        <v>106</v>
      </c>
      <c r="E67" s="27" t="s">
        <v>761</v>
      </c>
      <c r="F67" s="27" t="s">
        <v>100</v>
      </c>
      <c r="G67" s="43" t="n">
        <v>5</v>
      </c>
      <c r="H67" s="27" t="s">
        <v>924</v>
      </c>
      <c r="I67" s="70" t="s">
        <v>775</v>
      </c>
      <c r="J67" s="27" t="s">
        <v>945</v>
      </c>
    </row>
    <row r="68" customFormat="false" ht="27" hidden="false" customHeight="true" outlineLevel="0" collapsed="false">
      <c r="A68" s="59" t="s">
        <v>946</v>
      </c>
      <c r="B68" s="59" t="s">
        <v>947</v>
      </c>
      <c r="C68" s="59" t="s">
        <v>818</v>
      </c>
      <c r="D68" s="59" t="s">
        <v>106</v>
      </c>
      <c r="E68" s="59" t="s">
        <v>761</v>
      </c>
      <c r="F68" s="59" t="s">
        <v>100</v>
      </c>
      <c r="G68" s="43" t="n">
        <v>1</v>
      </c>
      <c r="H68" s="59" t="s">
        <v>943</v>
      </c>
      <c r="I68" s="70" t="s">
        <v>775</v>
      </c>
      <c r="J68" s="59" t="s">
        <v>948</v>
      </c>
    </row>
    <row r="69" customFormat="false" ht="27" hidden="false" customHeight="true" outlineLevel="0" collapsed="false">
      <c r="A69" s="27" t="s">
        <v>949</v>
      </c>
      <c r="B69" s="27" t="s">
        <v>950</v>
      </c>
      <c r="C69" s="27" t="s">
        <v>818</v>
      </c>
      <c r="D69" s="27" t="s">
        <v>106</v>
      </c>
      <c r="E69" s="27" t="s">
        <v>761</v>
      </c>
      <c r="F69" s="27" t="s">
        <v>767</v>
      </c>
      <c r="G69" s="43" t="n">
        <v>3</v>
      </c>
      <c r="H69" s="27" t="s">
        <v>937</v>
      </c>
      <c r="I69" s="70" t="s">
        <v>775</v>
      </c>
      <c r="J69" s="27" t="s">
        <v>951</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952</v>
      </c>
      <c r="E82" s="73"/>
      <c r="F82" s="73"/>
      <c r="G82" s="21" t="n">
        <f aca="false">SUM(G$5:G$80)</f>
        <v>351</v>
      </c>
    </row>
    <row r="83" customFormat="false" ht="15" hidden="false" customHeight="true" outlineLevel="0" collapsed="false">
      <c r="D83" s="74" t="s">
        <v>953</v>
      </c>
      <c r="E83" s="74"/>
      <c r="F83" s="74"/>
      <c r="G83" s="32" t="n">
        <f aca="false">SUMIF(E$5:E$80,"Must",G$5:G$80)</f>
        <v>306</v>
      </c>
    </row>
    <row r="84" customFormat="false" ht="15" hidden="false" customHeight="true" outlineLevel="0" collapsed="false">
      <c r="D84" s="74" t="s">
        <v>954</v>
      </c>
      <c r="E84" s="74"/>
      <c r="F84" s="74"/>
      <c r="G84" s="32" t="n">
        <f aca="false">SUMIF(E$5:E$80,"Should",G$5:G$80)+SUMIF(E$5:E$80,"Could",G$5:G$80)</f>
        <v>45</v>
      </c>
    </row>
    <row r="85" customFormat="false" ht="15" hidden="false" customHeight="true" outlineLevel="0" collapsed="false">
      <c r="D85" s="74" t="s">
        <v>955</v>
      </c>
      <c r="E85" s="74"/>
      <c r="F85" s="74"/>
      <c r="G85" s="32" t="n">
        <f aca="false">SUMIF(I$5:I$80,"Done",G$5:G$80)</f>
        <v>82</v>
      </c>
    </row>
    <row r="86" customFormat="false" ht="15" hidden="false" customHeight="true" outlineLevel="0" collapsed="false">
      <c r="D86" s="74" t="s">
        <v>956</v>
      </c>
      <c r="E86" s="74"/>
      <c r="F86" s="74"/>
      <c r="G86" s="75" t="n">
        <f aca="false">IF(G83=0,0,SUMIFS(G$5:G$80,E$5:E$80,"Must",I$5:I$80,"Done")/G83)</f>
        <v>0.23202614379085</v>
      </c>
    </row>
    <row r="89" customFormat="false" ht="15" hidden="false" customHeight="true" outlineLevel="0" collapsed="false">
      <c r="A89" s="6" t="s">
        <v>957</v>
      </c>
      <c r="B89" s="6"/>
      <c r="C89" s="6"/>
      <c r="D89" s="6"/>
      <c r="E89" s="6"/>
      <c r="F89" s="6"/>
      <c r="G89" s="6"/>
      <c r="H89" s="6"/>
      <c r="I89" s="6"/>
      <c r="J89" s="6"/>
    </row>
    <row r="90" customFormat="false" ht="15" hidden="false" customHeight="true" outlineLevel="0" collapsed="false">
      <c r="A90" s="9" t="s">
        <v>755</v>
      </c>
      <c r="B90" s="9"/>
      <c r="C90" s="9" t="s">
        <v>958</v>
      </c>
      <c r="D90" s="9" t="s">
        <v>959</v>
      </c>
      <c r="E90" s="9" t="s">
        <v>960</v>
      </c>
      <c r="F90" s="9" t="s">
        <v>961</v>
      </c>
    </row>
    <row r="91" customFormat="false" ht="15" hidden="false" customHeight="true" outlineLevel="0" collapsed="false">
      <c r="A91" s="76" t="s">
        <v>428</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767</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774</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867</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922</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962</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958</v>
      </c>
      <c r="D99" s="9" t="s">
        <v>963</v>
      </c>
      <c r="E99" s="9" t="s">
        <v>960</v>
      </c>
      <c r="F99" s="9" t="s">
        <v>961</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964</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965</v>
      </c>
      <c r="B2" s="3"/>
      <c r="C2" s="3"/>
      <c r="D2" s="3"/>
      <c r="E2" s="3"/>
      <c r="F2" s="3"/>
      <c r="G2" s="3"/>
      <c r="H2" s="3"/>
    </row>
    <row r="4" customFormat="false" ht="15" hidden="false" customHeight="true" outlineLevel="0" collapsed="false">
      <c r="A4" s="58" t="s">
        <v>5</v>
      </c>
      <c r="B4" s="58" t="s">
        <v>6</v>
      </c>
      <c r="C4" s="58" t="s">
        <v>966</v>
      </c>
      <c r="D4" s="58" t="s">
        <v>967</v>
      </c>
      <c r="E4" s="58" t="s">
        <v>968</v>
      </c>
      <c r="F4" s="58" t="s">
        <v>969</v>
      </c>
      <c r="G4" s="58" t="s">
        <v>970</v>
      </c>
      <c r="H4" s="9" t="s">
        <v>971</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972</v>
      </c>
      <c r="F5" s="27" t="s">
        <v>973</v>
      </c>
      <c r="G5" s="27" t="s">
        <v>974</v>
      </c>
      <c r="H5" s="27" t="s">
        <v>975</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976</v>
      </c>
      <c r="F6" s="28" t="s">
        <v>977</v>
      </c>
      <c r="G6" s="28" t="s">
        <v>978</v>
      </c>
      <c r="H6" s="59" t="s">
        <v>979</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980</v>
      </c>
      <c r="F7" s="27" t="s">
        <v>981</v>
      </c>
      <c r="G7" s="27" t="s">
        <v>982</v>
      </c>
      <c r="H7" s="27" t="s">
        <v>983</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984</v>
      </c>
      <c r="F8" s="28" t="s">
        <v>985</v>
      </c>
      <c r="G8" s="28" t="s">
        <v>986</v>
      </c>
      <c r="H8" s="59" t="s">
        <v>987</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988</v>
      </c>
      <c r="F9" s="27" t="s">
        <v>989</v>
      </c>
      <c r="G9" s="27" t="s">
        <v>990</v>
      </c>
      <c r="H9" s="27" t="s">
        <v>991</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992</v>
      </c>
      <c r="F10" s="28" t="s">
        <v>467</v>
      </c>
      <c r="G10" s="28" t="s">
        <v>993</v>
      </c>
      <c r="H10" s="59" t="s">
        <v>994</v>
      </c>
    </row>
    <row r="12" customFormat="false" ht="15" hidden="false" customHeight="true" outlineLevel="0" collapsed="false">
      <c r="A12" s="20" t="s">
        <v>995</v>
      </c>
      <c r="B12" s="82" t="n">
        <f aca="false">D10</f>
        <v>46691</v>
      </c>
      <c r="C12" s="82"/>
    </row>
    <row r="13" customFormat="false" ht="15" hidden="false" customHeight="true" outlineLevel="0" collapsed="false">
      <c r="A13" s="4" t="s">
        <v>996</v>
      </c>
      <c r="B13" s="83" t="n">
        <f aca="false">B12-Assumptions!B7</f>
        <v>387</v>
      </c>
      <c r="C13" s="83"/>
    </row>
    <row r="14" customFormat="false" ht="15" hidden="false" customHeight="true" outlineLevel="0" collapsed="false">
      <c r="A14" s="24" t="s">
        <v>997</v>
      </c>
      <c r="B14" s="24"/>
      <c r="C14" s="24"/>
      <c r="D14" s="24"/>
      <c r="E14" s="24"/>
      <c r="F14" s="24"/>
      <c r="G14" s="24"/>
      <c r="H14" s="24"/>
    </row>
    <row r="15" customFormat="false" ht="24" hidden="false" customHeight="true" outlineLevel="0" collapsed="false">
      <c r="A15" s="54" t="s">
        <v>998</v>
      </c>
      <c r="B15" s="54"/>
      <c r="C15" s="54"/>
      <c r="D15" s="54"/>
      <c r="E15" s="54"/>
      <c r="F15" s="54"/>
      <c r="G15" s="54"/>
      <c r="H15" s="54"/>
    </row>
    <row r="16" customFormat="false" ht="30" hidden="false" customHeight="true" outlineLevel="0" collapsed="false">
      <c r="A16" s="54" t="s">
        <v>999</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1000</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1001</v>
      </c>
      <c r="B4" s="9" t="s">
        <v>966</v>
      </c>
      <c r="C4" s="9" t="s">
        <v>967</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1002</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1003</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1004</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1005</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1006</v>
      </c>
      <c r="B2" s="3"/>
      <c r="C2" s="3"/>
      <c r="D2" s="3"/>
      <c r="E2" s="3"/>
      <c r="F2" s="3"/>
      <c r="G2" s="3"/>
      <c r="H2" s="3"/>
    </row>
    <row r="4" customFormat="false" ht="15" hidden="false" customHeight="true" outlineLevel="0" collapsed="false">
      <c r="A4" s="58" t="s">
        <v>1007</v>
      </c>
      <c r="B4" s="58" t="s">
        <v>1008</v>
      </c>
      <c r="C4" s="58" t="s">
        <v>96</v>
      </c>
      <c r="D4" s="58" t="s">
        <v>98</v>
      </c>
      <c r="E4" s="58" t="s">
        <v>100</v>
      </c>
      <c r="F4" s="58" t="s">
        <v>102</v>
      </c>
      <c r="G4" s="58" t="s">
        <v>104</v>
      </c>
      <c r="H4" s="58" t="s">
        <v>106</v>
      </c>
      <c r="I4" s="58" t="s">
        <v>1009</v>
      </c>
      <c r="J4" s="58" t="s">
        <v>7</v>
      </c>
    </row>
    <row r="5" customFormat="false" ht="21.75" hidden="false" customHeight="true" outlineLevel="0" collapsed="false">
      <c r="A5" s="26" t="s">
        <v>428</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767</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774</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867</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922</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1010</v>
      </c>
      <c r="B11" s="72" t="s">
        <v>1011</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1012</v>
      </c>
      <c r="B12" s="72" t="s">
        <v>1013</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1014</v>
      </c>
      <c r="B13" s="6"/>
      <c r="C13" s="6"/>
      <c r="D13" s="6"/>
      <c r="E13" s="6"/>
      <c r="F13" s="6"/>
      <c r="G13" s="6"/>
      <c r="H13" s="6"/>
    </row>
    <row r="14" customFormat="false" ht="15" hidden="false" customHeight="true" outlineLevel="0" collapsed="false">
      <c r="A14" s="9" t="s">
        <v>5</v>
      </c>
      <c r="B14" s="9" t="s">
        <v>1015</v>
      </c>
      <c r="C14" s="9" t="s">
        <v>428</v>
      </c>
      <c r="D14" s="9" t="s">
        <v>767</v>
      </c>
      <c r="E14" s="9" t="s">
        <v>774</v>
      </c>
      <c r="F14" s="9" t="s">
        <v>867</v>
      </c>
      <c r="G14" s="9" t="s">
        <v>922</v>
      </c>
      <c r="H14" s="9" t="s">
        <v>100</v>
      </c>
      <c r="I14" s="9" t="s">
        <v>1009</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1016</v>
      </c>
      <c r="B21" s="20"/>
      <c r="C21" s="20"/>
      <c r="D21" s="20"/>
      <c r="E21" s="20"/>
      <c r="F21" s="20"/>
      <c r="G21" s="20"/>
      <c r="H21" s="20"/>
      <c r="I21" s="20"/>
      <c r="J21" s="93" t="n">
        <f aca="false">SUM(J15:J20)</f>
        <v>323100</v>
      </c>
    </row>
    <row r="22" customFormat="false" ht="15" hidden="false" customHeight="true" outlineLevel="0" collapsed="false">
      <c r="A22" s="50" t="s">
        <v>1017</v>
      </c>
      <c r="B22" s="50"/>
      <c r="C22" s="50"/>
      <c r="D22" s="50"/>
      <c r="E22" s="50"/>
      <c r="F22" s="50"/>
      <c r="G22" s="50"/>
      <c r="H22" s="50"/>
      <c r="I22" s="94" t="n">
        <f aca="false">Assumptions!B32</f>
        <v>0.15</v>
      </c>
      <c r="J22" s="91" t="n">
        <f aca="false">J21*I22</f>
        <v>48465</v>
      </c>
    </row>
    <row r="23" customFormat="false" ht="15" hidden="false" customHeight="true" outlineLevel="0" collapsed="false">
      <c r="A23" s="50" t="s">
        <v>1018</v>
      </c>
      <c r="B23" s="50"/>
      <c r="C23" s="50"/>
      <c r="D23" s="50"/>
      <c r="E23" s="50"/>
      <c r="F23" s="50"/>
      <c r="G23" s="50"/>
      <c r="H23" s="50"/>
      <c r="I23" s="50"/>
      <c r="J23" s="91" t="n">
        <f aca="false">Assumptions!B34</f>
        <v>18000</v>
      </c>
    </row>
    <row r="24" customFormat="false" ht="15" hidden="false" customHeight="true" outlineLevel="0" collapsed="false">
      <c r="A24" s="50" t="s">
        <v>1019</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1020</v>
      </c>
      <c r="B28" s="50"/>
      <c r="C28" s="50"/>
      <c r="D28" s="50"/>
      <c r="E28" s="50"/>
      <c r="F28" s="50"/>
      <c r="G28" s="50"/>
      <c r="H28" s="50"/>
      <c r="I28" s="50"/>
      <c r="J28" s="91" t="n">
        <f aca="false">Assumptions!B75</f>
        <v>100</v>
      </c>
    </row>
    <row r="29" customFormat="false" ht="15" hidden="false" customHeight="true" outlineLevel="0" collapsed="false">
      <c r="A29" s="26" t="s">
        <v>1021</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1022</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1023</v>
      </c>
    </row>
    <row r="34" customFormat="false" ht="15" hidden="false" customHeight="true" outlineLevel="0" collapsed="false">
      <c r="A34" s="96" t="s">
        <v>1024</v>
      </c>
      <c r="B34" s="96"/>
      <c r="C34" s="96"/>
      <c r="D34" s="96"/>
      <c r="E34" s="96"/>
      <c r="F34" s="96"/>
      <c r="G34" s="96"/>
      <c r="H34" s="96"/>
      <c r="I34" s="96"/>
      <c r="J34" s="96"/>
    </row>
    <row r="35" customFormat="false" ht="15" hidden="false" customHeight="true" outlineLevel="0" collapsed="false">
      <c r="A35" s="4" t="s">
        <v>1016</v>
      </c>
      <c r="B35" s="91" t="n">
        <f aca="false">J21</f>
        <v>323100</v>
      </c>
    </row>
    <row r="36" customFormat="false" ht="15" hidden="false" customHeight="true" outlineLevel="0" collapsed="false">
      <c r="A36" s="4" t="s">
        <v>1025</v>
      </c>
      <c r="B36" s="91" t="n">
        <f aca="false">J31</f>
        <v>460504.8</v>
      </c>
    </row>
    <row r="37" customFormat="false" ht="15" hidden="false" customHeight="true" outlineLevel="0" collapsed="false">
      <c r="A37" s="4" t="s">
        <v>1026</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1027</v>
      </c>
      <c r="B2" s="3"/>
      <c r="C2" s="3"/>
      <c r="D2" s="3"/>
      <c r="E2" s="3"/>
    </row>
    <row r="4" customFormat="false" ht="15" hidden="false" customHeight="true" outlineLevel="0" collapsed="false">
      <c r="A4" s="6" t="s">
        <v>1028</v>
      </c>
      <c r="B4" s="6"/>
      <c r="C4" s="6"/>
      <c r="D4" s="6"/>
      <c r="E4" s="6"/>
    </row>
    <row r="5" customFormat="false" ht="15" hidden="false" customHeight="true" outlineLevel="0" collapsed="false">
      <c r="A5" s="9" t="s">
        <v>110</v>
      </c>
      <c r="B5" s="9" t="s">
        <v>42</v>
      </c>
      <c r="C5" s="29" t="s">
        <v>599</v>
      </c>
      <c r="D5" s="29"/>
      <c r="E5" s="29"/>
    </row>
    <row r="6" customFormat="false" ht="15" hidden="false" customHeight="true" outlineLevel="0" collapsed="false">
      <c r="A6" s="4" t="s">
        <v>179</v>
      </c>
      <c r="B6" s="97" t="n">
        <f aca="false">Assumptions!B69</f>
        <v>19.99</v>
      </c>
      <c r="C6" s="33" t="s">
        <v>1029</v>
      </c>
      <c r="D6" s="33"/>
      <c r="E6" s="33"/>
    </row>
    <row r="7" customFormat="false" ht="15" hidden="false" customHeight="true" outlineLevel="0" collapsed="false">
      <c r="A7" s="4" t="s">
        <v>1030</v>
      </c>
      <c r="B7" s="98" t="n">
        <f aca="false">B6*Assumptions!B70</f>
        <v>15.992</v>
      </c>
      <c r="C7" s="33" t="s">
        <v>1031</v>
      </c>
      <c r="D7" s="33"/>
      <c r="E7" s="33"/>
    </row>
    <row r="8" customFormat="false" ht="15" hidden="false" customHeight="true" outlineLevel="0" collapsed="false">
      <c r="A8" s="4" t="s">
        <v>1032</v>
      </c>
      <c r="B8" s="98" t="n">
        <f aca="false">B7*(1-Assumptions!B71)</f>
        <v>14.71264</v>
      </c>
      <c r="C8" s="33"/>
      <c r="D8" s="33"/>
      <c r="E8" s="33"/>
    </row>
    <row r="9" customFormat="false" ht="15" hidden="false" customHeight="true" outlineLevel="0" collapsed="false">
      <c r="A9" s="4" t="s">
        <v>1033</v>
      </c>
      <c r="B9" s="75" t="n">
        <f aca="false">Assumptions!B72*(1-Assumptions!B74)+Assumptions!B73*Assumptions!B74</f>
        <v>0.29</v>
      </c>
      <c r="C9" s="33" t="s">
        <v>1034</v>
      </c>
      <c r="D9" s="33"/>
      <c r="E9" s="33"/>
    </row>
    <row r="10" customFormat="false" ht="15" hidden="false" customHeight="true" outlineLevel="0" collapsed="false">
      <c r="A10" s="20" t="s">
        <v>1035</v>
      </c>
      <c r="B10" s="99" t="n">
        <f aca="false">B8*(1-B9)</f>
        <v>10.4459744</v>
      </c>
      <c r="C10" s="33" t="s">
        <v>1036</v>
      </c>
      <c r="D10" s="33"/>
      <c r="E10" s="33"/>
    </row>
    <row r="12" customFormat="false" ht="15" hidden="false" customHeight="true" outlineLevel="0" collapsed="false">
      <c r="A12" s="6" t="s">
        <v>1037</v>
      </c>
      <c r="B12" s="6"/>
      <c r="C12" s="6"/>
      <c r="D12" s="6"/>
      <c r="E12" s="6"/>
    </row>
    <row r="13" customFormat="false" ht="15" hidden="false" customHeight="true" outlineLevel="0" collapsed="false">
      <c r="A13" s="9" t="s">
        <v>110</v>
      </c>
      <c r="B13" s="9" t="s">
        <v>42</v>
      </c>
      <c r="C13" s="29" t="s">
        <v>599</v>
      </c>
      <c r="D13" s="29"/>
      <c r="E13" s="29"/>
    </row>
    <row r="14" customFormat="false" ht="15" hidden="false" customHeight="true" outlineLevel="0" collapsed="false">
      <c r="A14" s="4" t="s">
        <v>12</v>
      </c>
      <c r="B14" s="90" t="n">
        <f aca="false">TeamBudget!B36</f>
        <v>460504.8</v>
      </c>
      <c r="C14" s="33" t="s">
        <v>1038</v>
      </c>
      <c r="D14" s="33"/>
      <c r="E14" s="33"/>
    </row>
    <row r="15" customFormat="false" ht="15" hidden="false" customHeight="true" outlineLevel="0" collapsed="false">
      <c r="A15" s="67" t="s">
        <v>1039</v>
      </c>
      <c r="B15" s="100" t="n">
        <f aca="false">IF(B10=0,0,ROUNDUP(B14/B10,0))</f>
        <v>44085</v>
      </c>
      <c r="C15" s="33" t="s">
        <v>1040</v>
      </c>
      <c r="D15" s="33"/>
      <c r="E15" s="33"/>
    </row>
    <row r="16" customFormat="false" ht="15" hidden="false" customHeight="true" outlineLevel="0" collapsed="false">
      <c r="A16" s="4" t="s">
        <v>1041</v>
      </c>
      <c r="B16" s="90" t="n">
        <f aca="false">TeamBudget!B37</f>
        <v>98632.8</v>
      </c>
      <c r="C16" s="33" t="s">
        <v>1042</v>
      </c>
      <c r="D16" s="33"/>
      <c r="E16" s="33"/>
    </row>
    <row r="17" customFormat="false" ht="15" hidden="false" customHeight="true" outlineLevel="0" collapsed="false">
      <c r="A17" s="67" t="s">
        <v>1043</v>
      </c>
      <c r="B17" s="100" t="n">
        <f aca="false">IF(B10=0,0,ROUNDUP(B16/B10,0))</f>
        <v>9443</v>
      </c>
      <c r="C17" s="33" t="s">
        <v>1044</v>
      </c>
      <c r="D17" s="33"/>
      <c r="E17" s="33"/>
    </row>
    <row r="18" customFormat="false" ht="15" hidden="false" customHeight="true" outlineLevel="0" collapsed="false">
      <c r="A18" s="4" t="s">
        <v>1045</v>
      </c>
      <c r="B18" s="91" t="n">
        <f aca="false">B15*B6</f>
        <v>881259.15</v>
      </c>
      <c r="C18" s="33" t="s">
        <v>1046</v>
      </c>
      <c r="D18" s="33"/>
      <c r="E18" s="33"/>
    </row>
    <row r="20" customFormat="false" ht="15" hidden="false" customHeight="true" outlineLevel="0" collapsed="false">
      <c r="A20" s="6" t="s">
        <v>1047</v>
      </c>
      <c r="B20" s="6"/>
      <c r="C20" s="6"/>
      <c r="D20" s="6"/>
      <c r="E20" s="6"/>
    </row>
    <row r="21" customFormat="false" ht="15" hidden="false" customHeight="true" outlineLevel="0" collapsed="false">
      <c r="A21" s="9" t="s">
        <v>1048</v>
      </c>
      <c r="B21" s="9" t="s">
        <v>1049</v>
      </c>
      <c r="C21" s="9" t="s">
        <v>1050</v>
      </c>
      <c r="D21" s="9" t="s">
        <v>1051</v>
      </c>
      <c r="E21" s="9" t="s">
        <v>961</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1052</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1053</v>
      </c>
      <c r="B2" s="3"/>
      <c r="C2" s="3"/>
      <c r="D2" s="3"/>
      <c r="E2" s="3"/>
      <c r="F2" s="3"/>
      <c r="G2" s="3"/>
      <c r="H2" s="3"/>
    </row>
    <row r="4" customFormat="false" ht="15" hidden="false" customHeight="true" outlineLevel="0" collapsed="false">
      <c r="A4" s="58" t="s">
        <v>971</v>
      </c>
      <c r="B4" s="58" t="s">
        <v>1054</v>
      </c>
      <c r="C4" s="58" t="s">
        <v>1055</v>
      </c>
      <c r="D4" s="58" t="s">
        <v>1056</v>
      </c>
      <c r="E4" s="58" t="s">
        <v>755</v>
      </c>
      <c r="F4" s="9" t="s">
        <v>44</v>
      </c>
      <c r="G4" s="9" t="s">
        <v>1057</v>
      </c>
      <c r="H4" s="9" t="s">
        <v>1058</v>
      </c>
    </row>
    <row r="5" customFormat="false" ht="36" hidden="false" customHeight="true" outlineLevel="0" collapsed="false">
      <c r="A5" s="27" t="s">
        <v>975</v>
      </c>
      <c r="B5" s="87" t="n">
        <f aca="false">Schedule!D5</f>
        <v>46383</v>
      </c>
      <c r="C5" s="27" t="s">
        <v>1059</v>
      </c>
      <c r="D5" s="27" t="s">
        <v>1060</v>
      </c>
      <c r="E5" s="27" t="s">
        <v>428</v>
      </c>
      <c r="F5" s="70" t="s">
        <v>1061</v>
      </c>
      <c r="G5" s="27" t="s">
        <v>1062</v>
      </c>
      <c r="H5" s="27" t="s">
        <v>1063</v>
      </c>
    </row>
    <row r="6" customFormat="false" ht="36" hidden="false" customHeight="true" outlineLevel="0" collapsed="false">
      <c r="A6" s="59" t="s">
        <v>979</v>
      </c>
      <c r="B6" s="87" t="n">
        <f aca="false">Schedule!D6</f>
        <v>46453</v>
      </c>
      <c r="C6" s="59" t="s">
        <v>1064</v>
      </c>
      <c r="D6" s="59" t="s">
        <v>1065</v>
      </c>
      <c r="E6" s="59" t="s">
        <v>767</v>
      </c>
      <c r="F6" s="70" t="s">
        <v>1061</v>
      </c>
      <c r="G6" s="59" t="s">
        <v>1066</v>
      </c>
      <c r="H6" s="59" t="s">
        <v>1067</v>
      </c>
    </row>
    <row r="7" customFormat="false" ht="36" hidden="false" customHeight="true" outlineLevel="0" collapsed="false">
      <c r="A7" s="27" t="s">
        <v>983</v>
      </c>
      <c r="B7" s="87" t="n">
        <f aca="false">Schedule!D7</f>
        <v>46579</v>
      </c>
      <c r="C7" s="27" t="s">
        <v>1068</v>
      </c>
      <c r="D7" s="27" t="s">
        <v>1069</v>
      </c>
      <c r="E7" s="27" t="s">
        <v>428</v>
      </c>
      <c r="F7" s="70" t="s">
        <v>779</v>
      </c>
      <c r="G7" s="27" t="s">
        <v>1070</v>
      </c>
      <c r="H7" s="27" t="s">
        <v>1071</v>
      </c>
    </row>
    <row r="8" customFormat="false" ht="36" hidden="false" customHeight="true" outlineLevel="0" collapsed="false">
      <c r="A8" s="59" t="s">
        <v>987</v>
      </c>
      <c r="B8" s="87" t="n">
        <f aca="false">Schedule!D8</f>
        <v>46621</v>
      </c>
      <c r="C8" s="59" t="s">
        <v>1072</v>
      </c>
      <c r="D8" s="59" t="s">
        <v>1073</v>
      </c>
      <c r="E8" s="59" t="s">
        <v>100</v>
      </c>
      <c r="F8" s="70" t="s">
        <v>775</v>
      </c>
      <c r="G8" s="59" t="s">
        <v>1074</v>
      </c>
      <c r="H8" s="59" t="s">
        <v>1075</v>
      </c>
    </row>
    <row r="9" customFormat="false" ht="36" hidden="false" customHeight="true" outlineLevel="0" collapsed="false">
      <c r="A9" s="27" t="s">
        <v>991</v>
      </c>
      <c r="B9" s="87" t="n">
        <f aca="false">Schedule!D9</f>
        <v>46663</v>
      </c>
      <c r="C9" s="27" t="s">
        <v>1076</v>
      </c>
      <c r="D9" s="27" t="s">
        <v>1077</v>
      </c>
      <c r="E9" s="27" t="s">
        <v>922</v>
      </c>
      <c r="F9" s="70" t="s">
        <v>775</v>
      </c>
      <c r="G9" s="27" t="s">
        <v>1078</v>
      </c>
      <c r="H9" s="27" t="s">
        <v>1079</v>
      </c>
    </row>
    <row r="10" customFormat="false" ht="36" hidden="false" customHeight="true" outlineLevel="0" collapsed="false">
      <c r="A10" s="59" t="s">
        <v>994</v>
      </c>
      <c r="B10" s="87" t="n">
        <f aca="false">Schedule!D10</f>
        <v>46691</v>
      </c>
      <c r="C10" s="59" t="s">
        <v>1080</v>
      </c>
      <c r="D10" s="59" t="s">
        <v>1081</v>
      </c>
      <c r="E10" s="59" t="s">
        <v>100</v>
      </c>
      <c r="F10" s="70" t="s">
        <v>775</v>
      </c>
      <c r="G10" s="59" t="s">
        <v>1082</v>
      </c>
      <c r="H10" s="59" t="s">
        <v>533</v>
      </c>
    </row>
    <row r="12" customFormat="false" ht="27" hidden="false" customHeight="true" outlineLevel="0" collapsed="false">
      <c r="A12" s="54" t="s">
        <v>1083</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1084</v>
      </c>
      <c r="B2" s="3"/>
      <c r="C2" s="3"/>
      <c r="D2" s="3"/>
      <c r="E2" s="3"/>
      <c r="F2" s="3"/>
      <c r="G2" s="3"/>
      <c r="H2" s="3"/>
      <c r="I2" s="3"/>
      <c r="J2" s="3"/>
    </row>
    <row r="4" customFormat="false" ht="15" hidden="false" customHeight="true" outlineLevel="0" collapsed="false">
      <c r="A4" s="58" t="s">
        <v>419</v>
      </c>
      <c r="B4" s="58" t="s">
        <v>1085</v>
      </c>
      <c r="C4" s="58" t="s">
        <v>1086</v>
      </c>
      <c r="D4" s="58" t="s">
        <v>1087</v>
      </c>
      <c r="E4" s="58" t="s">
        <v>569</v>
      </c>
      <c r="F4" s="58" t="s">
        <v>1088</v>
      </c>
      <c r="G4" s="58" t="s">
        <v>755</v>
      </c>
      <c r="H4" s="58" t="s">
        <v>1089</v>
      </c>
      <c r="I4" s="9" t="s">
        <v>1090</v>
      </c>
      <c r="J4" s="9" t="s">
        <v>44</v>
      </c>
    </row>
    <row r="5" customFormat="false" ht="31.5" hidden="false" customHeight="true" outlineLevel="0" collapsed="false">
      <c r="A5" s="59" t="s">
        <v>1091</v>
      </c>
      <c r="B5" s="59" t="s">
        <v>1092</v>
      </c>
      <c r="C5" s="43" t="n">
        <v>3</v>
      </c>
      <c r="D5" s="43" t="n">
        <v>5</v>
      </c>
      <c r="E5" s="32" t="n">
        <f aca="false">C5*D5</f>
        <v>15</v>
      </c>
      <c r="F5" s="59" t="s">
        <v>1093</v>
      </c>
      <c r="G5" s="59" t="s">
        <v>428</v>
      </c>
      <c r="H5" s="59" t="s">
        <v>979</v>
      </c>
      <c r="I5" s="59" t="s">
        <v>1094</v>
      </c>
      <c r="J5" s="70" t="s">
        <v>1095</v>
      </c>
    </row>
    <row r="6" customFormat="false" ht="31.5" hidden="false" customHeight="true" outlineLevel="0" collapsed="false">
      <c r="A6" s="59" t="s">
        <v>1096</v>
      </c>
      <c r="B6" s="59" t="s">
        <v>1097</v>
      </c>
      <c r="C6" s="43" t="n">
        <v>3</v>
      </c>
      <c r="D6" s="43" t="n">
        <v>4</v>
      </c>
      <c r="E6" s="32" t="n">
        <f aca="false">C6*D6</f>
        <v>12</v>
      </c>
      <c r="F6" s="59" t="s">
        <v>1098</v>
      </c>
      <c r="G6" s="59" t="s">
        <v>428</v>
      </c>
      <c r="H6" s="59" t="s">
        <v>979</v>
      </c>
      <c r="I6" s="59" t="s">
        <v>1099</v>
      </c>
      <c r="J6" s="70" t="s">
        <v>1100</v>
      </c>
    </row>
    <row r="7" customFormat="false" ht="31.5" hidden="false" customHeight="true" outlineLevel="0" collapsed="false">
      <c r="A7" s="59" t="s">
        <v>1101</v>
      </c>
      <c r="B7" s="59" t="s">
        <v>1102</v>
      </c>
      <c r="C7" s="43" t="n">
        <v>2</v>
      </c>
      <c r="D7" s="43" t="n">
        <v>4</v>
      </c>
      <c r="E7" s="32" t="n">
        <f aca="false">C7*D7</f>
        <v>8</v>
      </c>
      <c r="F7" s="59" t="s">
        <v>1103</v>
      </c>
      <c r="G7" s="59" t="s">
        <v>767</v>
      </c>
      <c r="H7" s="59" t="s">
        <v>991</v>
      </c>
      <c r="I7" s="59" t="s">
        <v>1104</v>
      </c>
      <c r="J7" s="70" t="s">
        <v>1100</v>
      </c>
    </row>
    <row r="8" customFormat="false" ht="31.5" hidden="false" customHeight="true" outlineLevel="0" collapsed="false">
      <c r="A8" s="59" t="s">
        <v>1105</v>
      </c>
      <c r="B8" s="59" t="s">
        <v>1106</v>
      </c>
      <c r="C8" s="43" t="n">
        <v>4</v>
      </c>
      <c r="D8" s="43" t="n">
        <v>3</v>
      </c>
      <c r="E8" s="32" t="n">
        <f aca="false">C8*D8</f>
        <v>12</v>
      </c>
      <c r="F8" s="59" t="s">
        <v>1107</v>
      </c>
      <c r="G8" s="59" t="s">
        <v>100</v>
      </c>
      <c r="H8" s="59" t="s">
        <v>983</v>
      </c>
      <c r="I8" s="59" t="s">
        <v>1108</v>
      </c>
      <c r="J8" s="70" t="s">
        <v>1100</v>
      </c>
    </row>
    <row r="9" customFormat="false" ht="31.5" hidden="false" customHeight="true" outlineLevel="0" collapsed="false">
      <c r="A9" s="59" t="s">
        <v>1109</v>
      </c>
      <c r="B9" s="59" t="s">
        <v>1110</v>
      </c>
      <c r="C9" s="43" t="n">
        <v>2</v>
      </c>
      <c r="D9" s="43" t="n">
        <v>3</v>
      </c>
      <c r="E9" s="32" t="n">
        <f aca="false">C9*D9</f>
        <v>6</v>
      </c>
      <c r="F9" s="59" t="s">
        <v>1111</v>
      </c>
      <c r="G9" s="59" t="s">
        <v>774</v>
      </c>
      <c r="H9" s="59" t="s">
        <v>983</v>
      </c>
      <c r="I9" s="59" t="s">
        <v>1112</v>
      </c>
      <c r="J9" s="70" t="s">
        <v>1100</v>
      </c>
    </row>
    <row r="10" customFormat="false" ht="31.5" hidden="false" customHeight="true" outlineLevel="0" collapsed="false">
      <c r="A10" s="59" t="s">
        <v>1113</v>
      </c>
      <c r="B10" s="59" t="s">
        <v>1114</v>
      </c>
      <c r="C10" s="43" t="n">
        <v>2</v>
      </c>
      <c r="D10" s="43" t="n">
        <v>5</v>
      </c>
      <c r="E10" s="32" t="n">
        <f aca="false">C10*D10</f>
        <v>10</v>
      </c>
      <c r="F10" s="59" t="s">
        <v>1115</v>
      </c>
      <c r="G10" s="59" t="s">
        <v>428</v>
      </c>
      <c r="H10" s="59" t="s">
        <v>983</v>
      </c>
      <c r="I10" s="59" t="s">
        <v>1116</v>
      </c>
      <c r="J10" s="70" t="s">
        <v>1100</v>
      </c>
    </row>
    <row r="11" customFormat="false" ht="31.5" hidden="false" customHeight="true" outlineLevel="0" collapsed="false">
      <c r="A11" s="59" t="s">
        <v>1117</v>
      </c>
      <c r="B11" s="59" t="s">
        <v>1118</v>
      </c>
      <c r="C11" s="43" t="n">
        <v>3</v>
      </c>
      <c r="D11" s="43" t="n">
        <v>4</v>
      </c>
      <c r="E11" s="32" t="n">
        <f aca="false">C11*D11</f>
        <v>12</v>
      </c>
      <c r="F11" s="59" t="s">
        <v>1119</v>
      </c>
      <c r="G11" s="59" t="s">
        <v>100</v>
      </c>
      <c r="H11" s="59" t="s">
        <v>987</v>
      </c>
      <c r="I11" s="59" t="s">
        <v>1120</v>
      </c>
      <c r="J11" s="70" t="s">
        <v>1100</v>
      </c>
    </row>
    <row r="12" customFormat="false" ht="31.5" hidden="false" customHeight="true" outlineLevel="0" collapsed="false">
      <c r="A12" s="59" t="s">
        <v>1121</v>
      </c>
      <c r="B12" s="59" t="s">
        <v>1122</v>
      </c>
      <c r="C12" s="43" t="n">
        <v>2</v>
      </c>
      <c r="D12" s="43" t="n">
        <v>4</v>
      </c>
      <c r="E12" s="32" t="n">
        <f aca="false">C12*D12</f>
        <v>8</v>
      </c>
      <c r="F12" s="59" t="s">
        <v>1123</v>
      </c>
      <c r="G12" s="59" t="s">
        <v>767</v>
      </c>
      <c r="H12" s="59" t="s">
        <v>975</v>
      </c>
      <c r="I12" s="59" t="s">
        <v>1124</v>
      </c>
      <c r="J12" s="70" t="s">
        <v>1100</v>
      </c>
    </row>
    <row r="13" customFormat="false" ht="31.5" hidden="false" customHeight="true" outlineLevel="0" collapsed="false">
      <c r="A13" s="59" t="s">
        <v>1125</v>
      </c>
      <c r="B13" s="59" t="s">
        <v>1126</v>
      </c>
      <c r="C13" s="43" t="n">
        <v>2</v>
      </c>
      <c r="D13" s="43" t="n">
        <v>2</v>
      </c>
      <c r="E13" s="32" t="n">
        <f aca="false">C13*D13</f>
        <v>4</v>
      </c>
      <c r="F13" s="59" t="s">
        <v>1127</v>
      </c>
      <c r="G13" s="59" t="s">
        <v>428</v>
      </c>
      <c r="H13" s="59" t="s">
        <v>975</v>
      </c>
      <c r="I13" s="59" t="s">
        <v>1128</v>
      </c>
      <c r="J13" s="70" t="s">
        <v>1100</v>
      </c>
    </row>
    <row r="14" customFormat="false" ht="31.5" hidden="false" customHeight="true" outlineLevel="0" collapsed="false">
      <c r="A14" s="59" t="s">
        <v>1129</v>
      </c>
      <c r="B14" s="59" t="s">
        <v>1130</v>
      </c>
      <c r="C14" s="43" t="n">
        <v>3</v>
      </c>
      <c r="D14" s="43" t="n">
        <v>4</v>
      </c>
      <c r="E14" s="32" t="n">
        <f aca="false">C14*D14</f>
        <v>12</v>
      </c>
      <c r="F14" s="59" t="s">
        <v>1131</v>
      </c>
      <c r="G14" s="59" t="s">
        <v>428</v>
      </c>
      <c r="H14" s="59" t="s">
        <v>987</v>
      </c>
      <c r="I14" s="59" t="s">
        <v>1132</v>
      </c>
      <c r="J14" s="70" t="s">
        <v>1100</v>
      </c>
    </row>
    <row r="15" customFormat="false" ht="31.5" hidden="false" customHeight="true" outlineLevel="0" collapsed="false">
      <c r="A15" s="59" t="s">
        <v>1133</v>
      </c>
      <c r="B15" s="59" t="s">
        <v>1134</v>
      </c>
      <c r="C15" s="43" t="n">
        <v>3</v>
      </c>
      <c r="D15" s="43" t="n">
        <v>5</v>
      </c>
      <c r="E15" s="32" t="n">
        <f aca="false">C15*D15</f>
        <v>15</v>
      </c>
      <c r="F15" s="59" t="s">
        <v>1135</v>
      </c>
      <c r="G15" s="59" t="s">
        <v>428</v>
      </c>
      <c r="H15" s="59" t="s">
        <v>983</v>
      </c>
      <c r="I15" s="59" t="s">
        <v>1136</v>
      </c>
      <c r="J15" s="70" t="s">
        <v>1100</v>
      </c>
    </row>
    <row r="16" customFormat="false" ht="31.5" hidden="false" customHeight="true" outlineLevel="0" collapsed="false">
      <c r="A16" s="59" t="s">
        <v>1137</v>
      </c>
      <c r="B16" s="59" t="s">
        <v>1138</v>
      </c>
      <c r="C16" s="43" t="n">
        <v>4</v>
      </c>
      <c r="D16" s="43" t="n">
        <v>4</v>
      </c>
      <c r="E16" s="32" t="n">
        <f aca="false">C16*D16</f>
        <v>16</v>
      </c>
      <c r="F16" s="59" t="s">
        <v>1139</v>
      </c>
      <c r="G16" s="59" t="s">
        <v>100</v>
      </c>
      <c r="H16" s="59" t="s">
        <v>979</v>
      </c>
      <c r="I16" s="59" t="s">
        <v>1140</v>
      </c>
      <c r="J16" s="70" t="s">
        <v>1100</v>
      </c>
    </row>
    <row r="17" customFormat="false" ht="31.5" hidden="false" customHeight="true" outlineLevel="0" collapsed="false">
      <c r="A17" s="59" t="s">
        <v>1141</v>
      </c>
      <c r="B17" s="59" t="s">
        <v>1142</v>
      </c>
      <c r="C17" s="43" t="n">
        <v>3</v>
      </c>
      <c r="D17" s="43" t="n">
        <v>4</v>
      </c>
      <c r="E17" s="32" t="n">
        <f aca="false">C17*D17</f>
        <v>12</v>
      </c>
      <c r="F17" s="59" t="s">
        <v>1143</v>
      </c>
      <c r="G17" s="59" t="s">
        <v>100</v>
      </c>
      <c r="H17" s="59" t="s">
        <v>983</v>
      </c>
      <c r="I17" s="59" t="s">
        <v>1144</v>
      </c>
      <c r="J17" s="70" t="s">
        <v>1100</v>
      </c>
    </row>
    <row r="18" customFormat="false" ht="31.5" hidden="false" customHeight="true" outlineLevel="0" collapsed="false">
      <c r="A18" s="59" t="s">
        <v>1145</v>
      </c>
      <c r="B18" s="59" t="s">
        <v>1146</v>
      </c>
      <c r="C18" s="43" t="n">
        <v>2</v>
      </c>
      <c r="D18" s="43" t="n">
        <v>3</v>
      </c>
      <c r="E18" s="32" t="n">
        <f aca="false">C18*D18</f>
        <v>6</v>
      </c>
      <c r="F18" s="59" t="s">
        <v>1147</v>
      </c>
      <c r="G18" s="59" t="s">
        <v>428</v>
      </c>
      <c r="H18" s="59" t="s">
        <v>991</v>
      </c>
      <c r="I18" s="59" t="s">
        <v>1148</v>
      </c>
      <c r="J18" s="70" t="s">
        <v>1100</v>
      </c>
    </row>
    <row r="19" customFormat="false" ht="31.5" hidden="false" customHeight="true" outlineLevel="0" collapsed="false">
      <c r="A19" s="59" t="s">
        <v>1149</v>
      </c>
      <c r="B19" s="59" t="s">
        <v>1150</v>
      </c>
      <c r="C19" s="43" t="n">
        <v>2</v>
      </c>
      <c r="D19" s="43" t="n">
        <v>4</v>
      </c>
      <c r="E19" s="32" t="n">
        <f aca="false">C19*D19</f>
        <v>8</v>
      </c>
      <c r="F19" s="59" t="s">
        <v>1151</v>
      </c>
      <c r="G19" s="59" t="s">
        <v>767</v>
      </c>
      <c r="H19" s="59" t="s">
        <v>983</v>
      </c>
      <c r="I19" s="59" t="s">
        <v>1152</v>
      </c>
      <c r="J19" s="70" t="s">
        <v>1100</v>
      </c>
    </row>
    <row r="20" customFormat="false" ht="31.5" hidden="false" customHeight="true" outlineLevel="0" collapsed="false">
      <c r="A20" s="59" t="s">
        <v>1153</v>
      </c>
      <c r="B20" s="59" t="s">
        <v>1154</v>
      </c>
      <c r="C20" s="43" t="n">
        <v>3</v>
      </c>
      <c r="D20" s="43" t="n">
        <v>5</v>
      </c>
      <c r="E20" s="32" t="n">
        <f aca="false">C20*D20</f>
        <v>15</v>
      </c>
      <c r="F20" s="59" t="s">
        <v>1155</v>
      </c>
      <c r="G20" s="59" t="s">
        <v>100</v>
      </c>
      <c r="H20" s="59" t="s">
        <v>979</v>
      </c>
      <c r="I20" s="59" t="s">
        <v>1156</v>
      </c>
      <c r="J20" s="70" t="s">
        <v>1100</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1157</v>
      </c>
      <c r="B2" s="3"/>
      <c r="C2" s="3"/>
      <c r="D2" s="3"/>
      <c r="E2" s="3"/>
      <c r="F2" s="3"/>
      <c r="G2" s="3"/>
    </row>
    <row r="4" customFormat="false" ht="15" hidden="false" customHeight="true" outlineLevel="0" collapsed="false">
      <c r="A4" s="58" t="s">
        <v>1158</v>
      </c>
      <c r="B4" s="58" t="s">
        <v>1159</v>
      </c>
      <c r="C4" s="58" t="s">
        <v>1160</v>
      </c>
      <c r="D4" s="58" t="s">
        <v>1161</v>
      </c>
      <c r="E4" s="58" t="s">
        <v>95</v>
      </c>
      <c r="F4" s="9" t="s">
        <v>755</v>
      </c>
      <c r="G4" s="9" t="s">
        <v>1162</v>
      </c>
    </row>
    <row r="5" customFormat="false" ht="27.75" hidden="false" customHeight="true" outlineLevel="0" collapsed="false">
      <c r="A5" s="27" t="s">
        <v>1163</v>
      </c>
      <c r="B5" s="27" t="s">
        <v>1164</v>
      </c>
      <c r="C5" s="27" t="s">
        <v>1165</v>
      </c>
      <c r="D5" s="27" t="s">
        <v>1166</v>
      </c>
      <c r="E5" s="27" t="s">
        <v>1167</v>
      </c>
      <c r="F5" s="27" t="s">
        <v>774</v>
      </c>
      <c r="G5" s="27" t="s">
        <v>1168</v>
      </c>
    </row>
    <row r="6" customFormat="false" ht="27.75" hidden="false" customHeight="true" outlineLevel="0" collapsed="false">
      <c r="A6" s="59" t="s">
        <v>727</v>
      </c>
      <c r="B6" s="59" t="s">
        <v>1169</v>
      </c>
      <c r="C6" s="59" t="s">
        <v>1170</v>
      </c>
      <c r="D6" s="59" t="s">
        <v>1171</v>
      </c>
      <c r="E6" s="59" t="s">
        <v>1172</v>
      </c>
      <c r="F6" s="59" t="s">
        <v>1173</v>
      </c>
      <c r="G6" s="59" t="s">
        <v>1174</v>
      </c>
    </row>
    <row r="7" customFormat="false" ht="27.75" hidden="false" customHeight="true" outlineLevel="0" collapsed="false">
      <c r="A7" s="27" t="s">
        <v>1175</v>
      </c>
      <c r="B7" s="27" t="s">
        <v>1176</v>
      </c>
      <c r="C7" s="27" t="s">
        <v>1177</v>
      </c>
      <c r="D7" s="27" t="s">
        <v>1178</v>
      </c>
      <c r="E7" s="27" t="s">
        <v>1179</v>
      </c>
      <c r="F7" s="27" t="s">
        <v>774</v>
      </c>
      <c r="G7" s="27" t="s">
        <v>1174</v>
      </c>
    </row>
    <row r="8" customFormat="false" ht="27.75" hidden="false" customHeight="true" outlineLevel="0" collapsed="false">
      <c r="A8" s="59" t="s">
        <v>1180</v>
      </c>
      <c r="B8" s="59" t="s">
        <v>1181</v>
      </c>
      <c r="C8" s="59" t="s">
        <v>1182</v>
      </c>
      <c r="D8" s="59" t="s">
        <v>1183</v>
      </c>
      <c r="E8" s="59" t="s">
        <v>1184</v>
      </c>
      <c r="F8" s="59" t="s">
        <v>774</v>
      </c>
      <c r="G8" s="59" t="s">
        <v>1185</v>
      </c>
    </row>
    <row r="9" customFormat="false" ht="27.75" hidden="false" customHeight="true" outlineLevel="0" collapsed="false">
      <c r="A9" s="27" t="s">
        <v>612</v>
      </c>
      <c r="B9" s="27" t="s">
        <v>1186</v>
      </c>
      <c r="C9" s="27" t="s">
        <v>1187</v>
      </c>
      <c r="D9" s="27" t="s">
        <v>1188</v>
      </c>
      <c r="E9" s="27" t="s">
        <v>1189</v>
      </c>
      <c r="F9" s="27" t="s">
        <v>774</v>
      </c>
      <c r="G9" s="27" t="s">
        <v>1190</v>
      </c>
    </row>
    <row r="10" customFormat="false" ht="27.75" hidden="false" customHeight="true" outlineLevel="0" collapsed="false">
      <c r="A10" s="59" t="s">
        <v>803</v>
      </c>
      <c r="B10" s="59" t="s">
        <v>1191</v>
      </c>
      <c r="C10" s="59" t="s">
        <v>1192</v>
      </c>
      <c r="D10" s="59" t="s">
        <v>925</v>
      </c>
      <c r="E10" s="59" t="s">
        <v>1193</v>
      </c>
      <c r="F10" s="59" t="s">
        <v>774</v>
      </c>
      <c r="G10" s="59" t="s">
        <v>1194</v>
      </c>
    </row>
    <row r="11" customFormat="false" ht="27.75" hidden="false" customHeight="true" outlineLevel="0" collapsed="false">
      <c r="A11" s="27" t="s">
        <v>867</v>
      </c>
      <c r="B11" s="27" t="s">
        <v>1195</v>
      </c>
      <c r="C11" s="27" t="s">
        <v>1196</v>
      </c>
      <c r="D11" s="27" t="s">
        <v>1197</v>
      </c>
      <c r="E11" s="27" t="s">
        <v>1198</v>
      </c>
      <c r="F11" s="27" t="s">
        <v>867</v>
      </c>
      <c r="G11" s="27" t="s">
        <v>1199</v>
      </c>
    </row>
    <row r="12" customFormat="false" ht="27.75" hidden="false" customHeight="true" outlineLevel="0" collapsed="false">
      <c r="A12" s="59" t="s">
        <v>886</v>
      </c>
      <c r="B12" s="59" t="s">
        <v>1200</v>
      </c>
      <c r="C12" s="59" t="s">
        <v>1201</v>
      </c>
      <c r="D12" s="59" t="s">
        <v>1202</v>
      </c>
      <c r="E12" s="59" t="s">
        <v>1203</v>
      </c>
      <c r="F12" s="59" t="s">
        <v>428</v>
      </c>
      <c r="G12" s="59" t="s">
        <v>1174</v>
      </c>
    </row>
    <row r="13" customFormat="false" ht="27.75" hidden="false" customHeight="true" outlineLevel="0" collapsed="false">
      <c r="A13" s="27" t="s">
        <v>1204</v>
      </c>
      <c r="B13" s="27" t="s">
        <v>1205</v>
      </c>
      <c r="C13" s="27" t="s">
        <v>1206</v>
      </c>
      <c r="D13" s="27" t="s">
        <v>1207</v>
      </c>
      <c r="E13" s="27" t="s">
        <v>1208</v>
      </c>
      <c r="F13" s="27" t="s">
        <v>767</v>
      </c>
      <c r="G13" s="27" t="s">
        <v>1174</v>
      </c>
    </row>
    <row r="14" customFormat="false" ht="27.75" hidden="false" customHeight="true" outlineLevel="0" collapsed="false">
      <c r="A14" s="59" t="s">
        <v>1209</v>
      </c>
      <c r="B14" s="59" t="s">
        <v>1210</v>
      </c>
      <c r="C14" s="59" t="s">
        <v>1211</v>
      </c>
      <c r="D14" s="59" t="s">
        <v>1212</v>
      </c>
      <c r="E14" s="59" t="s">
        <v>1213</v>
      </c>
      <c r="F14" s="59" t="s">
        <v>100</v>
      </c>
      <c r="G14" s="59" t="s">
        <v>1214</v>
      </c>
    </row>
    <row r="15" customFormat="false" ht="27.75" hidden="false" customHeight="true" outlineLevel="0" collapsed="false">
      <c r="A15" s="27" t="s">
        <v>1215</v>
      </c>
      <c r="B15" s="27" t="s">
        <v>1216</v>
      </c>
      <c r="C15" s="27" t="s">
        <v>1217</v>
      </c>
      <c r="D15" s="27" t="s">
        <v>1218</v>
      </c>
      <c r="E15" s="27" t="s">
        <v>1219</v>
      </c>
      <c r="F15" s="27" t="s">
        <v>100</v>
      </c>
      <c r="G15" s="27" t="s">
        <v>1220</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1221</v>
      </c>
      <c r="B2" s="3"/>
      <c r="C2" s="3"/>
      <c r="D2" s="3"/>
    </row>
    <row r="4" customFormat="false" ht="15" hidden="false" customHeight="true" outlineLevel="0" collapsed="false">
      <c r="A4" s="58" t="s">
        <v>110</v>
      </c>
      <c r="B4" s="58" t="s">
        <v>1222</v>
      </c>
      <c r="C4" s="58" t="s">
        <v>1223</v>
      </c>
      <c r="D4" s="58" t="s">
        <v>755</v>
      </c>
    </row>
    <row r="5" customFormat="false" ht="27.75" hidden="false" customHeight="true" outlineLevel="0" collapsed="false">
      <c r="A5" s="27" t="s">
        <v>1224</v>
      </c>
      <c r="B5" s="27" t="s">
        <v>1225</v>
      </c>
      <c r="C5" s="27" t="s">
        <v>975</v>
      </c>
      <c r="D5" s="27" t="s">
        <v>100</v>
      </c>
    </row>
    <row r="6" customFormat="false" ht="27.75" hidden="false" customHeight="true" outlineLevel="0" collapsed="false">
      <c r="A6" s="59" t="s">
        <v>1226</v>
      </c>
      <c r="B6" s="59" t="s">
        <v>1227</v>
      </c>
      <c r="C6" s="59" t="s">
        <v>1228</v>
      </c>
      <c r="D6" s="59" t="s">
        <v>767</v>
      </c>
    </row>
    <row r="7" customFormat="false" ht="27.75" hidden="false" customHeight="true" outlineLevel="0" collapsed="false">
      <c r="A7" s="27" t="s">
        <v>1229</v>
      </c>
      <c r="B7" s="27" t="s">
        <v>1230</v>
      </c>
      <c r="C7" s="27" t="s">
        <v>983</v>
      </c>
      <c r="D7" s="27" t="s">
        <v>767</v>
      </c>
    </row>
    <row r="8" customFormat="false" ht="27.75" hidden="false" customHeight="true" outlineLevel="0" collapsed="false">
      <c r="A8" s="59" t="s">
        <v>1231</v>
      </c>
      <c r="B8" s="59" t="s">
        <v>1232</v>
      </c>
      <c r="C8" s="59" t="s">
        <v>979</v>
      </c>
      <c r="D8" s="59" t="s">
        <v>428</v>
      </c>
    </row>
    <row r="9" customFormat="false" ht="27.75" hidden="false" customHeight="true" outlineLevel="0" collapsed="false">
      <c r="A9" s="27" t="s">
        <v>1233</v>
      </c>
      <c r="B9" s="27" t="s">
        <v>1234</v>
      </c>
      <c r="C9" s="27" t="s">
        <v>975</v>
      </c>
      <c r="D9" s="27" t="s">
        <v>100</v>
      </c>
    </row>
    <row r="10" customFormat="false" ht="27.75" hidden="false" customHeight="true" outlineLevel="0" collapsed="false">
      <c r="A10" s="59" t="s">
        <v>1235</v>
      </c>
      <c r="B10" s="59" t="s">
        <v>1236</v>
      </c>
      <c r="C10" s="59" t="s">
        <v>983</v>
      </c>
      <c r="D10" s="59" t="s">
        <v>428</v>
      </c>
    </row>
    <row r="11" customFormat="false" ht="27.75" hidden="false" customHeight="true" outlineLevel="0" collapsed="false">
      <c r="A11" s="27" t="s">
        <v>1237</v>
      </c>
      <c r="B11" s="27" t="s">
        <v>1238</v>
      </c>
      <c r="C11" s="27" t="s">
        <v>991</v>
      </c>
      <c r="D11" s="27" t="s">
        <v>100</v>
      </c>
    </row>
    <row r="12" customFormat="false" ht="27.75" hidden="false" customHeight="true" outlineLevel="0" collapsed="false">
      <c r="A12" s="59" t="s">
        <v>1239</v>
      </c>
      <c r="B12" s="59" t="s">
        <v>1240</v>
      </c>
      <c r="C12" s="59" t="s">
        <v>994</v>
      </c>
      <c r="D12" s="59" t="s">
        <v>100</v>
      </c>
    </row>
    <row r="13" customFormat="false" ht="27.75" hidden="false" customHeight="true" outlineLevel="0" collapsed="false">
      <c r="A13" s="27" t="s">
        <v>1241</v>
      </c>
      <c r="B13" s="27" t="s">
        <v>1242</v>
      </c>
      <c r="C13" s="27" t="s">
        <v>994</v>
      </c>
      <c r="D13" s="27" t="s">
        <v>922</v>
      </c>
    </row>
    <row r="14" customFormat="false" ht="27.75" hidden="false" customHeight="true" outlineLevel="0" collapsed="false">
      <c r="A14" s="59" t="s">
        <v>1243</v>
      </c>
      <c r="B14" s="59" t="s">
        <v>1244</v>
      </c>
      <c r="C14" s="59" t="s">
        <v>1245</v>
      </c>
      <c r="D14" s="59" t="s">
        <v>428</v>
      </c>
    </row>
    <row r="15" customFormat="false" ht="27.75" hidden="false" customHeight="true" outlineLevel="0" collapsed="false">
      <c r="A15" s="27" t="s">
        <v>1246</v>
      </c>
      <c r="B15" s="27" t="s">
        <v>1247</v>
      </c>
      <c r="C15" s="27" t="s">
        <v>979</v>
      </c>
      <c r="D15" s="27" t="s">
        <v>100</v>
      </c>
    </row>
    <row r="16" customFormat="false" ht="27.75" hidden="false" customHeight="true" outlineLevel="0" collapsed="false">
      <c r="A16" s="59" t="s">
        <v>1248</v>
      </c>
      <c r="B16" s="59" t="str">
        <f aca="false">"Premium at $"&amp;TEXT(Assumptions!B69,"0.00")&amp;". Launch discount no deeper than the realized-price factor on Assumptions."</f>
        <v>Premium at $19.99. Launch discount no deeper than the realized-price factor on Assumptions.</v>
      </c>
      <c r="C16" s="59" t="s">
        <v>987</v>
      </c>
      <c r="D16" s="59" t="s">
        <v>100</v>
      </c>
    </row>
    <row r="17" customFormat="false" ht="27.75" hidden="false" customHeight="true" outlineLevel="0" collapsed="false">
      <c r="A17" s="27" t="s">
        <v>1249</v>
      </c>
      <c r="B17" s="27" t="s">
        <v>1250</v>
      </c>
      <c r="C17" s="27" t="s">
        <v>979</v>
      </c>
      <c r="D17" s="27" t="s">
        <v>100</v>
      </c>
    </row>
    <row r="18" customFormat="false" ht="27.75" hidden="false" customHeight="true" outlineLevel="0" collapsed="false">
      <c r="A18" s="59" t="s">
        <v>969</v>
      </c>
      <c r="B18" s="59" t="s">
        <v>1251</v>
      </c>
      <c r="C18" s="59" t="s">
        <v>987</v>
      </c>
      <c r="D18" s="59" t="s">
        <v>100</v>
      </c>
    </row>
    <row r="19" customFormat="false" ht="27.75" hidden="false" customHeight="true" outlineLevel="0" collapsed="false">
      <c r="A19" s="27" t="s">
        <v>1252</v>
      </c>
      <c r="B19" s="27" t="s">
        <v>1253</v>
      </c>
      <c r="C19" s="27" t="s">
        <v>991</v>
      </c>
      <c r="D19" s="27" t="s">
        <v>767</v>
      </c>
    </row>
    <row r="20" customFormat="false" ht="27.75" hidden="false" customHeight="true" outlineLevel="0" collapsed="false">
      <c r="A20" s="59" t="s">
        <v>1254</v>
      </c>
      <c r="B20" s="59" t="s">
        <v>1255</v>
      </c>
      <c r="C20" s="59" t="s">
        <v>991</v>
      </c>
      <c r="D20" s="59" t="s">
        <v>100</v>
      </c>
    </row>
    <row r="21" customFormat="false" ht="27.75" hidden="false" customHeight="true" outlineLevel="0" collapsed="false">
      <c r="A21" s="27" t="s">
        <v>1256</v>
      </c>
      <c r="B21" s="27" t="s">
        <v>1257</v>
      </c>
      <c r="C21" s="27" t="s">
        <v>991</v>
      </c>
      <c r="D21" s="27" t="s">
        <v>428</v>
      </c>
    </row>
    <row r="22" customFormat="false" ht="27.75" hidden="false" customHeight="true" outlineLevel="0" collapsed="false">
      <c r="A22" s="59" t="s">
        <v>1258</v>
      </c>
      <c r="B22" s="59" t="s">
        <v>1259</v>
      </c>
      <c r="C22" s="59" t="s">
        <v>994</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1260</v>
      </c>
      <c r="B2" s="3"/>
      <c r="C2" s="3"/>
      <c r="D2" s="3"/>
    </row>
    <row r="4" customFormat="false" ht="15" hidden="false" customHeight="true" outlineLevel="0" collapsed="false">
      <c r="A4" s="9" t="s">
        <v>1261</v>
      </c>
      <c r="B4" s="9" t="s">
        <v>1262</v>
      </c>
      <c r="C4" s="9" t="s">
        <v>1263</v>
      </c>
      <c r="D4" s="9" t="s">
        <v>1264</v>
      </c>
    </row>
    <row r="5" customFormat="false" ht="30" hidden="false" customHeight="true" outlineLevel="0" collapsed="false">
      <c r="A5" s="102" t="n">
        <v>46311</v>
      </c>
      <c r="B5" s="27" t="s">
        <v>1265</v>
      </c>
      <c r="C5" s="27" t="s">
        <v>1266</v>
      </c>
      <c r="D5" s="27" t="s">
        <v>1267</v>
      </c>
    </row>
    <row r="6" customFormat="false" ht="30" hidden="false" customHeight="true" outlineLevel="0" collapsed="false">
      <c r="A6" s="103" t="n">
        <v>46311</v>
      </c>
      <c r="B6" s="59" t="s">
        <v>1265</v>
      </c>
      <c r="C6" s="59" t="s">
        <v>1268</v>
      </c>
      <c r="D6" s="59" t="s">
        <v>1269</v>
      </c>
    </row>
    <row r="7" customFormat="false" ht="30" hidden="false" customHeight="true" outlineLevel="0" collapsed="false">
      <c r="A7" s="102" t="n">
        <v>46311</v>
      </c>
      <c r="B7" s="27" t="s">
        <v>1265</v>
      </c>
      <c r="C7" s="27" t="s">
        <v>1270</v>
      </c>
      <c r="D7" s="27" t="s">
        <v>1271</v>
      </c>
    </row>
    <row r="8" customFormat="false" ht="30" hidden="false" customHeight="true" outlineLevel="0" collapsed="false">
      <c r="A8" s="103" t="n">
        <v>46311</v>
      </c>
      <c r="B8" s="59" t="s">
        <v>1029</v>
      </c>
      <c r="C8" s="59" t="s">
        <v>1272</v>
      </c>
      <c r="D8" s="59" t="s">
        <v>1273</v>
      </c>
    </row>
    <row r="9" customFormat="false" ht="30" hidden="false" customHeight="true" outlineLevel="0" collapsed="false">
      <c r="A9" s="102" t="n">
        <v>46311</v>
      </c>
      <c r="B9" s="27" t="s">
        <v>1274</v>
      </c>
      <c r="C9" s="27" t="s">
        <v>1275</v>
      </c>
      <c r="D9" s="27" t="s">
        <v>1276</v>
      </c>
    </row>
    <row r="10" customFormat="false" ht="30" hidden="false" customHeight="true" outlineLevel="0" collapsed="false">
      <c r="A10" s="103" t="n">
        <v>46311</v>
      </c>
      <c r="B10" s="59" t="s">
        <v>53</v>
      </c>
      <c r="C10" s="59" t="s">
        <v>1277</v>
      </c>
      <c r="D10" s="59" t="s">
        <v>1278</v>
      </c>
    </row>
    <row r="11" customFormat="false" ht="30" hidden="false" customHeight="true" outlineLevel="0" collapsed="false">
      <c r="A11" s="102" t="n">
        <v>46311</v>
      </c>
      <c r="B11" s="27" t="s">
        <v>1279</v>
      </c>
      <c r="C11" s="27" t="s">
        <v>1280</v>
      </c>
      <c r="D11" s="27" t="s">
        <v>1281</v>
      </c>
    </row>
    <row r="12" customFormat="false" ht="30" hidden="false" customHeight="true" outlineLevel="0" collapsed="false">
      <c r="A12" s="103" t="n">
        <v>46311</v>
      </c>
      <c r="B12" s="59" t="s">
        <v>508</v>
      </c>
      <c r="C12" s="59" t="s">
        <v>1282</v>
      </c>
      <c r="D12" s="59" t="s">
        <v>1283</v>
      </c>
    </row>
    <row r="13" customFormat="false" ht="30" hidden="false" customHeight="true" outlineLevel="0" collapsed="false">
      <c r="A13" s="102" t="n">
        <v>46311</v>
      </c>
      <c r="B13" s="27" t="s">
        <v>1284</v>
      </c>
      <c r="C13" s="27" t="s">
        <v>1285</v>
      </c>
      <c r="D13" s="27" t="s">
        <v>1286</v>
      </c>
    </row>
    <row r="14" customFormat="false" ht="30" hidden="false" customHeight="true" outlineLevel="0" collapsed="false">
      <c r="A14" s="103" t="n">
        <v>46311</v>
      </c>
      <c r="B14" s="59" t="s">
        <v>1287</v>
      </c>
      <c r="C14" s="59" t="s">
        <v>1288</v>
      </c>
      <c r="D14" s="59" t="s">
        <v>1289</v>
      </c>
    </row>
    <row r="15" customFormat="false" ht="30" hidden="false" customHeight="true" outlineLevel="0" collapsed="false">
      <c r="A15" s="102" t="n">
        <v>46311</v>
      </c>
      <c r="B15" s="27" t="s">
        <v>58</v>
      </c>
      <c r="C15" s="27" t="s">
        <v>1290</v>
      </c>
      <c r="D15" s="27" t="s">
        <v>1291</v>
      </c>
    </row>
    <row r="16" customFormat="false" ht="30" hidden="false" customHeight="true" outlineLevel="0" collapsed="false">
      <c r="A16" s="103" t="n">
        <v>46311</v>
      </c>
      <c r="B16" s="59" t="s">
        <v>1292</v>
      </c>
      <c r="C16" s="59" t="s">
        <v>1293</v>
      </c>
      <c r="D16" s="59" t="s">
        <v>1294</v>
      </c>
    </row>
    <row r="17" customFormat="false" ht="30" hidden="false" customHeight="true" outlineLevel="0" collapsed="false">
      <c r="A17" s="102" t="n">
        <v>46311</v>
      </c>
      <c r="B17" s="27" t="s">
        <v>62</v>
      </c>
      <c r="C17" s="27" t="s">
        <v>1295</v>
      </c>
      <c r="D17" s="27" t="s">
        <v>1296</v>
      </c>
    </row>
    <row r="18" customFormat="false" ht="30" hidden="false" customHeight="true" outlineLevel="0" collapsed="false">
      <c r="A18" s="103" t="n">
        <v>46311</v>
      </c>
      <c r="B18" s="59" t="s">
        <v>542</v>
      </c>
      <c r="C18" s="59" t="s">
        <v>1297</v>
      </c>
      <c r="D18" s="59" t="s">
        <v>1298</v>
      </c>
    </row>
    <row r="19" customFormat="false" ht="30" hidden="false" customHeight="true" outlineLevel="0" collapsed="false">
      <c r="A19" s="102" t="n">
        <v>46311</v>
      </c>
      <c r="B19" s="27" t="s">
        <v>818</v>
      </c>
      <c r="C19" s="27" t="s">
        <v>1299</v>
      </c>
      <c r="D19" s="27" t="s">
        <v>1300</v>
      </c>
    </row>
    <row r="20" customFormat="false" ht="30" hidden="false" customHeight="true" outlineLevel="0" collapsed="false">
      <c r="A20" s="103" t="n">
        <v>46311</v>
      </c>
      <c r="B20" s="59" t="s">
        <v>1301</v>
      </c>
      <c r="C20" s="59" t="s">
        <v>1302</v>
      </c>
      <c r="D20" s="59" t="s">
        <v>1303</v>
      </c>
    </row>
    <row r="21" customFormat="false" ht="23.25" hidden="false" customHeight="true" outlineLevel="0" collapsed="false">
      <c r="A21" s="103" t="n">
        <v>46313</v>
      </c>
      <c r="B21" s="59" t="s">
        <v>508</v>
      </c>
      <c r="C21" s="59" t="s">
        <v>1304</v>
      </c>
      <c r="D21" s="59" t="s">
        <v>1305</v>
      </c>
    </row>
    <row r="22" customFormat="false" ht="23.25" hidden="false" customHeight="true" outlineLevel="0" collapsed="false">
      <c r="A22" s="103" t="n">
        <v>46313</v>
      </c>
      <c r="B22" s="59" t="s">
        <v>1306</v>
      </c>
      <c r="C22" s="59" t="s">
        <v>1307</v>
      </c>
      <c r="D22" s="59" t="s">
        <v>1308</v>
      </c>
    </row>
    <row r="23" customFormat="false" ht="23.85" hidden="false" customHeight="false" outlineLevel="0" collapsed="false">
      <c r="A23" s="103" t="n">
        <v>46313</v>
      </c>
      <c r="B23" s="59" t="s">
        <v>1306</v>
      </c>
      <c r="C23" s="59" t="s">
        <v>1309</v>
      </c>
      <c r="D23" s="59" t="s">
        <v>1310</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2026-10-18T06:28:41Z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file>