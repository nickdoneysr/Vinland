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visions" sheetId="16" state="visible" r:id="rId18"/>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5"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<sst xmlns="http://schemas.openxmlformats.org/spreadsheetml/2006/main" count="1890" uniqueCount="1167">
  <si>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</si>
  <si>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</si>
  <si>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</si>
  <si>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</si>
  <si>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</si>
  <si>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</si>
  <si>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</si>
  <si>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</si>
  <si>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</si>
  <si>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</si>
  <si>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</si>
  <si>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</si>
  <si>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</si>
  <si>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</si>
  <si>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</si>
  <si>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</si>
  <si>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</si>
  <si>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</si>
  <si>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</si>
  <si>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</si>
  <si>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</si>
  <si>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</si>
  <si>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</si>
  <si>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</si>
  <si>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</si>
  <si>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</si>
  <si>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</si>
  <si>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</si>
  <si>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</si>
  <si>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</si>
  <si>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</si>
  <si>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</si>
  <si>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</si>
  <si>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</si>
  <si>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</si>
  <si>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</si>
  <si>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</si>
  <si>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</si>
  <si>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</si>
  <si>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</si>
  <si>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</si>
  <si>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</si>
  <si>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</si>
  <si>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</si>
  <si>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</si>
  <si>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</si>
  <si>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</si>
  <si>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</si>
  <si>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</si>
  <si>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</si>
  <si>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</si>
  <si>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</si>
  <si>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</si>
  <si>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</si>
  <si>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</si>
  <si>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</si>
  <si>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</si>
  <si>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</si>
  <si>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</si>
  <si>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</si>
  <si>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</si>
  <si>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</si>
  <si>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</si>
  <si>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</si>
  <si>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</si>
  <si>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</si>
  <si>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</si>
  <si>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</si>
  <si>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</si>
  <si>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</si>
  <si>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</si>
  <si>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</si>
  <si>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</si>
  <si>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</si>
  <si>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</si>
  <si>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</si>
  <si>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</si>
  <si>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</si>
  <si>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</si>
  <si>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</si>
  <si>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</si>
  <si>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</si>
  <si>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</si>
  <si>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</si>
  <si>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</si>
  <si>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</si>
  <si>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</si>
  <si>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</si>
  <si>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</si>
  <si>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</si>
  <si>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</si>
  <si>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</si>
  <si>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</si>
  <si>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</si>
  <si>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</si>
  <si>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</si>
  <si>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</si>
  <si>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</si>
  <si>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</si>
  <si>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</si>
  <si>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</si>
  <si>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</si>
  <si>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</si>
  <si>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</si>
  <si>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</si>
  <si>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</si>
  <si>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</si>
  <si>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</si>
  <si>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</si>
  <si>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</si>
  <si>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</si>
  <si>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</si>
  <si>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</si>
  <si>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</si>
  <si>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</si>
  <si>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</si>
  <si>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</si>
  <si>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</si>
  <si>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</si>
  <si>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</si>
  <si>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</si>
  <si>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</si>
  <si>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</si>
  <si>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</si>
  <si>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</si>
  <si>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</si>
  <si>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</si>
  <si>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</si>
  <si>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</si>
  <si>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</si>
  <si>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</si>
  <si>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</si>
  <si>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</si>
  <si>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</si>
  <si>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</si>
  <si>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</si>
  <si>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</si>
  <si>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</si>
  <si>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</si>
  <si>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</si>
  <si>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</si>
  <si>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</si>
  <si>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</si>
  <si>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</si>
  <si>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</si>
  <si>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</si>
  <si>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</si>
  <si>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</si>
  <si>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</si>
  <si>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</si>
  <si>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</si>
  <si>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</si>
  <si>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</si>
  <si>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</si>
  <si>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</si>
  <si>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</si>
  <si>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</si>
  <si>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</si>
  <si>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</si>
  <si>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</si>
  <si>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</si>
  <si>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</si>
  <si>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</si>
  <si>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</si>
  <si>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</si>
  <si>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</si>
  <si>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</si>
  <si>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</si>
  <si>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</si>
  <si>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</si>
  <si>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</si>
  <si>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</si>
  <si>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</si>
  <si>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</si>
  <si>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</si>
  <si>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</si>
  <si>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</si>
  <si>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</si>
  <si>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</si>
  <si>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</si>
  <si>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</si>
  <si>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</si>
  <si>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</si>
  <si>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</si>
  <si>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</si>
  <si>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</si>
  <si>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</si>
  <si>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</si>
  <si>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</si>
  <si>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</si>
  <si>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</si>
  <si>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</si>
  <si>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</si>
  <si>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</si>
  <si>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</si>
  <si>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</si>
  <si>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</si>
  <si>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</si>
  <si>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</si>
  <si>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</si>
  <si>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</si>
  <si>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</si>
  <si>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</si>
  <si>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</si>
  <si>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</si>
  <si>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</si>
  <si>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</si>
  <si>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</si>
  <si>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</si>
  <si>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</si>
  <si>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</si>
  <si>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VOYAGE TUNING (FEEDS THE GAME BUILD THROUGH data/knobs.json)</t>
  </si>
  <si>
    <t xml:space="preserve">Departure day of year</t>
  </si>
  <si>
    <t xml:space="preserve">Season clock: 25 May. Leave after the ice.</t>
  </si>
  <si>
    <t xml:space="preserve">Last safe day at sea (day of year)</t>
  </si>
  <si>
    <t xml:space="preserve">Season clock: 30 Sep. Still at sea in October is a loss.</t>
  </si>
  <si>
    <t xml:space="preserve">Daily drift with no fix (nm)</t>
  </si>
  <si>
    <t xml:space="preserve">Drift: added to the leg each day; partial halves, clean refunds</t>
  </si>
  <si>
    <t xml:space="preserve">Pace multiplier: crack on</t>
  </si>
  <si>
    <t xml:space="preserve">Pace</t>
  </si>
  <si>
    <t xml:space="preserve">Pace multiplier: easy</t>
  </si>
  <si>
    <t xml:space="preserve">Pace multiplier: heave to</t>
  </si>
  <si>
    <t xml:space="preserve">Pace: the storm choice</t>
  </si>
  <si>
    <t xml:space="preserve">Sail strain per watch cracking on in wind</t>
  </si>
  <si>
    <t xml:space="preserve">Ship condition</t>
  </si>
  <si>
    <t xml:space="preserve">Sprung strake chance per storm watch running</t>
  </si>
  <si>
    <t xml:space="preserve">Sprung strake chance per storm watch hove to</t>
  </si>
  <si>
    <t xml:space="preserve">Cask breach chance per rough day</t>
  </si>
  <si>
    <t xml:space="preserve">Drink</t>
  </si>
  <si>
    <t xml:space="preserve">Sickness chance per person-day, full ration</t>
  </si>
  <si>
    <t xml:space="preserve">Sickness</t>
  </si>
  <si>
    <t xml:space="preserve">Sickness chance per person-day, half ration</t>
  </si>
  <si>
    <t xml:space="preserve">Sickness chance per person-day, bare bones</t>
  </si>
  <si>
    <t xml:space="preserve">Death chance per sick person-day when starving</t>
  </si>
  <si>
    <t xml:space="preserve">Days a sick person stays sick</t>
  </si>
  <si>
    <t xml:space="preserve">Fodderless days before an animal dies</t>
  </si>
  <si>
    <t xml:space="preserve">Livestock</t>
  </si>
  <si>
    <t xml:space="preserve">Hand-line catch per fishing day (person-days)</t>
  </si>
  <si>
    <t xml:space="preserve">Fishing: three quarters of a day's full ration. Placeholder until the hand-line mini-game (F05)</t>
  </si>
  <si>
    <t xml:space="preserve">Morale change per day: full / half / bare rations</t>
  </si>
  <si>
    <t xml:space="preserve">1 / -2 / -5</t>
  </si>
  <si>
    <t xml:space="preserve">Morale (read as three numbers)</t>
  </si>
  <si>
    <t xml:space="preserve">Morale change: storm day</t>
  </si>
  <si>
    <t xml:space="preserve">Morale</t>
  </si>
  <si>
    <t xml:space="preserve">Morale change: a death</t>
  </si>
  <si>
    <t xml:space="preserve">Morale change: landfall</t>
  </si>
  <si>
    <t xml:space="preserve">Morale change: clean fix</t>
  </si>
  <si>
    <t xml:space="preserve">Starvation sickness multiplier</t>
  </si>
  <si>
    <t xml:space="preserve">Sickness: chance multiplier on days with no food</t>
  </si>
  <si>
    <t xml:space="preserve">Thirst sickness multiplier</t>
  </si>
  <si>
    <t xml:space="preserve">Sickness: chance multiplier on days with no drink</t>
  </si>
  <si>
    <t xml:space="preserve">Hooks carried</t>
  </si>
  <si>
    <t xml:space="preserve">Hand line: a snapped or cut line costs a hook</t>
  </si>
  <si>
    <t xml:space="preserve">CAMP TUNING (FEEDS THE GAME BUILD THROUGH data/knobs.json)</t>
  </si>
  <si>
    <t xml:space="preserve">Work to raise a booth (builder-days)</t>
  </si>
  <si>
    <t xml:space="preserve">Build: a turf-and-timber booth</t>
  </si>
  <si>
    <t xml:space="preserve">People sheltered per booth</t>
  </si>
  <si>
    <t xml:space="preserve">Shelter: the unsheltered sicken faster</t>
  </si>
  <si>
    <t xml:space="preserve">Your seated joint counts as (builder-days)</t>
  </si>
  <si>
    <t xml:space="preserve">Build: the joint mini-game is the skilled work that holds the frame</t>
  </si>
  <si>
    <t xml:space="preserve">Shore fishing per worker-day (person-days)</t>
  </si>
  <si>
    <t xml:space="preserve">Fish: crew working without you</t>
  </si>
  <si>
    <t xml:space="preserve">Forage per worker-day (person-days)</t>
  </si>
  <si>
    <t xml:space="preserve">Forage: placeholder until the forage mini-game (F13)</t>
  </si>
  <si>
    <t xml:space="preserve">Timber felled per worker-day (units)</t>
  </si>
  <si>
    <t xml:space="preserve">Felled, trimmed and hauled to the slip; 4 units open the return</t>
  </si>
  <si>
    <t xml:space="preserve">Hay cut per worker-day (units)</t>
  </si>
  <si>
    <t xml:space="preserve">Hay, from 1 August</t>
  </si>
  <si>
    <t xml:space="preserve">First hay day (day of year)</t>
  </si>
  <si>
    <t xml:space="preserve">Hay: 1 August</t>
  </si>
  <si>
    <t xml:space="preserve">Milk per fed cow per day (person-days)</t>
  </si>
  <si>
    <t xml:space="preserve">Livestock: summer grazing feeds them</t>
  </si>
  <si>
    <t xml:space="preserve">Unsheltered sickness multiplier</t>
  </si>
  <si>
    <t xml:space="preserve">Shelter</t>
  </si>
  <si>
    <t xml:space="preserve">Tending shortens sickness by (days per tender-day)</t>
  </si>
  <si>
    <t xml:space="preserve">Tend the sick</t>
  </si>
  <si>
    <t xml:space="preserve">Slice ends (day of year)</t>
  </si>
  <si>
    <t xml:space="preserve">Vertical slice runs to 1 September</t>
  </si>
  <si>
    <t xml:space="preserve">Booth plots at the camp</t>
  </si>
  <si>
    <t xml:space="preserve">Build queue: booths first, then the longhouse</t>
  </si>
  <si>
    <t xml:space="preserve">Work to raise the longhouse (builder-days)</t>
  </si>
  <si>
    <t xml:space="preserve">Build queue: the hall that gets the camp through winter (F17)</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</si>
  <si>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</si>
  <si>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</si>
  <si>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</si>
  <si>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</si>
  <si>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</si>
  <si>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</si>
  <si>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</si>
  <si>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</si>
  <si>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</si>
  <si>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</si>
  <si>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</si>
  <si>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</si>
  <si>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</si>
  <si>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</si>
  <si>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</si>
  <si>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</si>
  <si>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</si>
  <si>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</si>
  <si>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</si>
  <si>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</si>
  <si>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</si>
  <si>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</si>
  <si>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</si>
  <si>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</si>
  <si>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</si>
  <si>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</si>
  <si>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</si>
  <si>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</si>
  <si>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</si>
  <si>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</si>
  <si>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</si>
  <si>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</si>
  <si>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</si>
  <si>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</si>
  <si>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</si>
  <si>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</si>
  <si>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</si>
  <si>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</si>
  <si>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</si>
  <si>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</si>
  <si>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</si>
  <si>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</si>
  <si>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</si>
  <si>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</si>
  <si>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</si>
  <si>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</si>
  <si>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</si>
  <si>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</si>
  <si>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</si>
  <si>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</si>
  <si>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</si>
  <si>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</si>
  <si>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</si>
  <si>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</si>
  <si>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</si>
  <si>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</si>
  <si>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</si>
  <si>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</si>
  <si>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</si>
  <si>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</si>
  <si>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</si>
  <si>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</si>
  <si>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</si>
  <si>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</si>
  <si>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</si>
  <si>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</si>
  <si>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</si>
  <si>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</si>
  <si>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</si>
  <si>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</si>
  <si>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</si>
  <si>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</si>
  <si>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</si>
  <si>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</si>
  <si>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</si>
  <si>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</si>
  <si>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</si>
  <si>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</si>
  <si>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</si>
  <si>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</si>
  <si>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</si>
  <si>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</si>
  <si>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</si>
  <si>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</si>
  <si>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</si>
  <si>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</si>
  <si>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</si>
  <si>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</si>
  <si>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</si>
  <si>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</si>
  <si>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</si>
  <si>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</si>
  <si>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</si>
  <si>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</si>
  <si>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</si>
  <si>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</si>
  <si>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</si>
  <si>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</si>
  <si>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</si>
  <si>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</si>
  <si>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</si>
  <si>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</si>
  <si>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</si>
  <si>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</si>
  <si>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</si>
  <si>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</si>
  <si>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</si>
  <si>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</si>
  <si>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</si>
  <si>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</si>
  <si>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</si>
  <si>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</si>
  <si>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</si>
  <si>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</si>
  <si>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</si>
  <si>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</si>
  <si>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</si>
  <si>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</si>
  <si>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</si>
  <si>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</si>
  <si>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</si>
  <si>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</si>
  <si>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</si>
  <si>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</si>
  <si>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</si>
  <si>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</si>
  <si>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</si>
  <si>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</si>
  <si>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</si>
  <si>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</si>
  <si>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</si>
  <si>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</si>
  <si>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</si>
  <si>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</si>
  <si>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</si>
  <si>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</si>
  <si>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</si>
  <si>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</si>
  <si>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</si>
  <si>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</si>
  <si>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</si>
  <si>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</si>
  <si>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</si>
  <si>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</si>
  <si>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</si>
  <si>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</si>
  <si>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</si>
  <si>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</si>
  <si>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</si>
  <si>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</si>
  <si>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</si>
  <si>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</si>
  <si>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</si>
  <si>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</si>
  <si>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</si>
  <si>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</si>
  <si>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</si>
  <si>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</si>
  <si>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</si>
  <si>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</si>
  <si>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</si>
  <si>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</si>
  <si>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</si>
  <si>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</si>
  <si>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</si>
  <si>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</si>
  <si>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</si>
  <si>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</si>
  <si>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</si>
  <si>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</si>
  <si>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</si>
  <si>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</si>
  <si>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</si>
  <si>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</si>
  <si>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</si>
  <si>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</si>
  <si>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</si>
  <si>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</si>
  <si>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</si>
  <si>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</si>
  <si>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</si>
  <si>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</si>
  <si>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</si>
  <si>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</si>
  <si>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</si>
  <si>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</si>
  <si>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</si>
  <si>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</si>
  <si>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</si>
  <si>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</si>
  <si>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</si>
  <si>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</si>
  <si>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</si>
  <si>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</si>
  <si>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</si>
  <si>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</si>
  <si>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</si>
  <si>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</si>
  <si>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</si>
  <si>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</si>
  <si>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</si>
  <si>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</si>
  <si>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</si>
  <si>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</si>
  <si>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</si>
  <si>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</si>
  <si>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</si>
  <si>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</si>
  <si>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</si>
  <si>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</si>
  <si>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</si>
  <si>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</si>
  <si>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</si>
  <si>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</si>
  <si>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</si>
  <si>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</si>
  <si>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</si>
  <si>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</si>
  <si>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</si>
  <si>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</si>
  <si>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</si>
  <si>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</si>
  <si>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</si>
  <si>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</si>
  <si>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</si>
  <si>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</si>
  <si>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</si>
  <si>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</si>
  <si>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</si>
  <si>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</si>
  <si>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</si>
  <si>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</si>
  <si>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</si>
  <si>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</si>
  <si>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</si>
  <si>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</si>
  <si>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</si>
  <si>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</si>
  <si>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</si>
  <si>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</si>
  <si>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</si>
  <si>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</si>
  <si>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</si>
  <si>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</si>
  <si>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</si>
  <si>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</si>
  <si>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</si>
  <si>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</si>
  <si>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</si>
  <si>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</si>
  <si>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</si>
  <si>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</si>
  <si>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</si>
  <si>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</si>
  <si>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</si>
  <si>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</si>
  <si>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</si>
  <si>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</si>
  <si>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</si>
  <si>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</si>
  <si>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</si>
  <si>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</si>
  <si>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</si>
  <si>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</si>
  <si>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</si>
  <si>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</si>
  <si>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</si>
  <si>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</si>
  <si>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</si>
  <si>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</si>
  <si>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</si>
  <si>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</si>
  <si>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</si>
  <si>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</si>
  <si>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</si>
  <si>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</si>
  <si>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</si>
  <si>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</si>
  <si>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</si>
  <si>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</si>
  <si>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</si>
  <si>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</si>
  <si>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</si>
  <si>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</si>
  <si>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</si>
  <si>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</si>
  <si>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</si>
  <si>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</si>
  <si>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</si>
  <si>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</si>
  <si>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</si>
  <si>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</si>
  <si>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</si>
  <si>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</si>
  <si>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</si>
  <si>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</si>
  <si>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</si>
  <si>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</si>
  <si>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</si>
  <si>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</si>
  <si>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</si>
  <si>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</si>
  <si>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</si>
  <si>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</si>
  <si>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</si>
  <si>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</si>
  <si>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</si>
  <si>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</si>
  <si>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</si>
  <si>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</si>
  <si>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</si>
  <si>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</si>
  <si>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</si>
  <si>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</si>
  <si>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</si>
  <si>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</si>
  <si>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</si>
  <si>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</si>
  <si>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</si>
  <si>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</si>
  <si>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</si>
  <si>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</si>
  <si>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</si>
  <si>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</si>
  <si>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</si>
  <si>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</si>
  <si>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</si>
  <si>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</si>
  <si>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</si>
  <si>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</si>
  <si>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</si>
  <si>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</si>
  <si>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</si>
  <si>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</si>
  <si>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</si>
  <si>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</si>
  <si>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</si>
  <si>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</si>
  <si>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</si>
  <si>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</si>
  <si>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</si>
  <si>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</si>
  <si>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</si>
  <si>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</si>
  <si>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In progress</t>
  </si>
  <si>
    <t xml:space="preserve">Someone who did not design it finds a fix and argues about the hold.  [Digital ring prototype stands in for the paper test; needs a tester who did not design it.]</t>
  </si>
  <si>
    <t xml:space="preserve">F42</t>
  </si>
  <si>
    <t xml:space="preserve">Engine bake-off: ring prototype in both engines</t>
  </si>
  <si>
    <t xml:space="preserve">Tech</t>
  </si>
  <si>
    <t xml:space="preserve">Engineering</t>
  </si>
  <si>
    <t xml:space="preserve">Done</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</si>
  <si>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</si>
  <si>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</si>
  <si>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</si>
  <si>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[Git repo, tagged builds, headless tests and Windows/Web exports work. Push to GitHub waits on repo access.]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</si>
  <si>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</si>
  <si>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</si>
  <si>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</si>
  <si>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</si>
  <si>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</si>
  <si>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</si>
  <si>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</si>
  <si>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Cargo units, rations, and spoilage read from Assumptions knobs; no literals in code.  [Hold, rations, spoilage and animal fodder run from knobs; HoldCheck arithmetic reproduced and tested.]</t>
  </si>
  <si>
    <t xml:space="preserve">Watch and leg runner</t>
  </si>
  <si>
    <t xml:space="preserve">Voyage</t>
  </si>
  <si>
    <t xml:space="preserve">Four-hour watches advance a leg; pace and weather resolve per watch.  [Six watches a day, six legs, landfalls, playable voyage screen from Eriksfjord to the Strait.]</t>
  </si>
  <si>
    <t xml:space="preserve">Star ring mini-game</t>
  </si>
  <si>
    <t xml:space="preserve">Fix result (clean, partial, none) feeds drift; playable with haptics off.  [Prototype playable: 5 conditions, haptics with visual twin, run log CSV. Needs human playtests.]</t>
  </si>
  <si>
    <t xml:space="preserve">Sun board mini-game</t>
  </si>
  <si>
    <t xml:space="preserve">Overcast skips it; a snatched shadow keeps yesterday's error.</t>
  </si>
  <si>
    <t xml:space="preserve">Hand-line fishing</t>
  </si>
  <si>
    <t xml:space="preserve">A bite reads through the trigger; a cut line keeps the hook.  [Playable: depth by stick, nibbles, two-beat bite, set on the ease, haul under line strain, snap, cut; hooks are a stock. Bots: skilled watch ~19.5 person-days.]</t>
  </si>
  <si>
    <t xml:space="preserve">F06</t>
  </si>
  <si>
    <t xml:space="preserve">One camp day loop</t>
  </si>
  <si>
    <t xml:space="preserve">Morning job queue, one verb, evening tally that changes the hold.  [Playable: morning job board, you play the joint or the hand line, evening tally, a week at a time, G1 checklist at autumn.]</t>
  </si>
  <si>
    <t xml:space="preserve">Joint construction</t>
  </si>
  <si>
    <t xml:space="preserve">Grain reported on RT; a split log costs the day.  [Playable: brace, set the peg, drive by trigger depth; rain lowers the grain cap. Bots: steady 100%, full force 0%, timid 0%, no brace 22%.]</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</si>
  <si>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</si>
  <si>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</si>
  <si>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</si>
  <si>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</si>
  <si>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</si>
  <si>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  [Season clock from 25 May; at sea past 30 Sep is a loss; HUD dial.]</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</si>
  <si>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</si>
  <si>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</si>
  <si>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</si>
  <si>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</si>
  <si>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</si>
  <si>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  [Breach on rough days loses a cask; thirst sickness. Whey not yet modelled.]</t>
  </si>
  <si>
    <t xml:space="preserve">Pace and drift resolution</t>
  </si>
  <si>
    <t xml:space="preserve">No fix walks downwind; partial halves drift; clean refunds it.  [Pace (crack on, easy, heave to) and drift: none walks, partial halves, clean refunds; open water doubles drift.]</t>
  </si>
  <si>
    <t xml:space="preserve">F39</t>
  </si>
  <si>
    <t xml:space="preserve">Playtest run log</t>
  </si>
  <si>
    <t xml:space="preserve">Tools</t>
  </si>
  <si>
    <t xml:space="preserve">Every run writes hold, rations, fixes, and deaths per day to a file.  [Daily voyage CSV and per-night ring CSV written to the user folder; 1,200-voyage balance sweep in tests.]</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</si>
  <si>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</si>
  <si>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</si>
  <si>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</si>
  <si>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</si>
  <si>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</si>
  <si>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</si>
  <si>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</si>
  <si>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</si>
  <si>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  [Seven cards plus fair wind, weighted per leg; card shown at each dawn.]</t>
  </si>
  <si>
    <t xml:space="preserve">No sky game in a storm: hull check, then bail rhythm.</t>
  </si>
  <si>
    <t xml:space="preserve">F11</t>
  </si>
  <si>
    <t xml:space="preserve">Helluland, Markland, Strait legs</t>
  </si>
  <si>
    <t xml:space="preserve">Each leg has a landfall quality and a named failure.</t>
  </si>
  <si>
    <t xml:space="preserve">One shot; ranging far can tick fear.</t>
  </si>
  <si>
    <t xml:space="preserve">Forage patch</t>
  </si>
  <si>
    <t xml:space="preserve">A greedy take strips next season's patch.</t>
  </si>
  <si>
    <t xml:space="preserve">Net throw</t>
  </si>
  <si>
    <t xml:space="preserve">An empty throw spends the day.</t>
  </si>
  <si>
    <t xml:space="preserve">Drying and smoke rack</t>
  </si>
  <si>
    <t xml:space="preserve">Two fair days turn fresh fish into a food unit.</t>
  </si>
  <si>
    <t xml:space="preserve">Livestock, milk, hay</t>
  </si>
  <si>
    <t xml:space="preserve">Hay cut in late summer or the byre is a tomb.  [Milk from fed cows; hay job opens 1 August. Byre and winter feeding still to come.]</t>
  </si>
  <si>
    <t xml:space="preserve">F17</t>
  </si>
  <si>
    <t xml:space="preserve">Byre, longhouse, booths</t>
  </si>
  <si>
    <t xml:space="preserve">Three buildings raised with the joint and lift verbs; no tech tree.  [Booth plots and the longhouse as a build queue with visible stages (placeholder drawings).]</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</si>
  <si>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</si>
  <si>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</si>
  <si>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</si>
  <si>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</si>
  <si>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</si>
  <si>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t>
  </si>
  <si>
    <t xml:space="preserve">F20</t>
  </si>
  <si>
    <t xml:space="preserve">Market day</t>
  </si>
  <si>
    <t xml:space="preserve">Milk and red cloth trade; visitors have wants of their own and leave when fear rises.</t>
  </si>
  <si>
    <t xml:space="preserve">F21</t>
  </si>
  <si>
    <t xml:space="preserve">Bull and weapon-sale events</t>
  </si>
  <si>
    <t xml:space="preserve">Either event can break the market; neither is a cutscene.</t>
  </si>
  <si>
    <t xml:space="preserve">F22</t>
  </si>
  <si>
    <t xml:space="preserve">Four outfits</t>
  </si>
  <si>
    <t xml:space="preserve">Meta</t>
  </si>
  <si>
    <t xml:space="preserve">Each outfit changes the starting hold and one verb's ease.</t>
  </si>
  <si>
    <t xml:space="preserve">F23</t>
  </si>
  <si>
    <t xml:space="preserve">Named crew roles</t>
  </si>
  <si>
    <t xml:space="preserve">Roles decide who can stand a watch, take a verb, or sail home.</t>
  </si>
  <si>
    <t xml:space="preserve">Ship strain and hull damage</t>
  </si>
  <si>
    <t xml:space="preserve">Crack on strains the sail; storms can spring a strake; repair costs a day.  [Sail strain and sprung strakes; repair one level at each landfall.]</t>
  </si>
  <si>
    <t xml:space="preserve">Bare-bones rations and wet watches make sick crew who cannot work.</t>
  </si>
  <si>
    <t xml:space="preserve">Winter camp loop and starvation check</t>
  </si>
  <si>
    <t xml:space="preserve">Each winter week checks hay, food, and shelter; starvation ends the run.</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</si>
  <si>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</si>
  <si>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</si>
  <si>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</si>
  <si>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</si>
  <si>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</si>
  <si>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</si>
  <si>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</si>
  <si>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</si>
  <si>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</si>
  <si>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t>
  </si>
  <si>
    <t xml:space="preserve">F51</t>
  </si>
  <si>
    <t xml:space="preserve">Main menu, options, pause</t>
  </si>
  <si>
    <t xml:space="preserve">Options cover remaps, haptic strength, text size, and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</si>
  <si>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</si>
  <si>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</si>
  <si>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</si>
  <si>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</si>
  <si>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</si>
  <si>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</si>
  <si>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</si>
  <si>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</si>
  <si>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</si>
  <si>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</si>
  <si>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</si>
  <si>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</si>
  <si>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</si>
  <si>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</si>
  <si>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</si>
  <si>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</si>
  <si>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</si>
  <si>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</si>
  <si>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</si>
  <si>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</si>
  <si>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t>
  </si>
  <si>
    <t xml:space="preserve">F25</t>
  </si>
  <si>
    <t xml:space="preserve">Timber appraisal and cargo sale</t>
  </si>
  <si>
    <t xml:space="preserve">Timber grade and amount set what the cargo buys at home.</t>
  </si>
  <si>
    <t xml:space="preserve">Recruitment and second hull</t>
  </si>
  <si>
    <t xml:space="preserve">A living crew and a true story recruit better than silver.</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</si>
  <si>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</si>
  <si>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</si>
  <si>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</si>
  <si>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</si>
  <si>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</si>
  <si>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</si>
  <si>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</si>
  <si>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</si>
  <si>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</si>
  <si>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</si>
  <si>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</si>
  <si>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</si>
  <si>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</si>
  <si>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</si>
  <si>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</si>
  <si>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</si>
  <si>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</si>
  <si>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</si>
  <si>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t>
  </si>
  <si>
    <t xml:space="preserve">F64</t>
  </si>
  <si>
    <t xml:space="preserve">Regression pass list per gate</t>
  </si>
  <si>
    <t xml:space="preserve">QA</t>
  </si>
  <si>
    <t xml:space="preserve">Each gate has a written pass list run on the tagged build.</t>
  </si>
  <si>
    <t xml:space="preserve">F31</t>
  </si>
  <si>
    <t xml:space="preserve">Score and saga ending</t>
  </si>
  <si>
    <t xml:space="preserve">Qualified ending scored below a living camp, never scolded.</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</si>
  <si>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</si>
  <si>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</si>
  <si>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</si>
  <si>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</si>
  <si>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</si>
  <si>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</si>
  <si>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  [Difficulty levels and novice-player tests in place from the first playtest; tune again from real play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</si>
  <si>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</si>
  <si>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</si>
  <si>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</si>
  <si>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</si>
  <si>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</si>
  <si>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</si>
  <si>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</si>
  <si>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</si>
  <si>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</si>
  <si>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</si>
  <si>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</si>
  <si>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</si>
  <si>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</si>
  <si>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</si>
  <si>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</si>
  <si>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</si>
  <si>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</si>
  <si>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</si>
  <si>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</si>
  <si>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</si>
  <si>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</si>
  <si>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</si>
  <si>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</si>
  <si>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</si>
  <si>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</si>
  <si>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</si>
  <si>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</si>
  <si>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</si>
  <si>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</si>
  <si>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</si>
  <si>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</si>
  <si>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</si>
  <si>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</si>
  <si>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</si>
  <si>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</si>
  <si>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</si>
  <si>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</si>
  <si>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</si>
  <si>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</si>
  <si>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</si>
  <si>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</si>
  <si>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</si>
  <si>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</si>
  <si>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</si>
  <si>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</si>
  <si>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</si>
  <si>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</si>
  <si>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</si>
  <si>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</si>
  <si>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</si>
  <si>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</si>
  <si>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</si>
  <si>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</si>
  <si>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</si>
  <si>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</si>
  <si>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</si>
  <si>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</si>
  <si>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</si>
  <si>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</si>
  <si>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</si>
  <si>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</si>
  <si>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</si>
  <si>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</si>
  <si>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</si>
  <si>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</si>
  <si>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</si>
  <si>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</si>
  <si>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</si>
  <si>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</si>
  <si>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</si>
  <si>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</si>
  <si>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</si>
  <si>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</si>
  <si>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</si>
  <si>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</si>
  <si>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</si>
  <si>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</si>
  <si>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</si>
  <si>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</si>
  <si>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</si>
  <si>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</si>
  <si>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</si>
  <si>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</si>
  <si>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</si>
  <si>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</si>
  <si>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</si>
  <si>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</si>
  <si>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</si>
  <si>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</si>
  <si>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</si>
  <si>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</si>
  <si>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</si>
  <si>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</si>
  <si>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</si>
  <si>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</si>
  <si>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</si>
  <si>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</si>
  <si>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</si>
  <si>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</si>
  <si>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</si>
  <si>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</si>
  <si>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</si>
  <si>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</si>
  <si>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</si>
  <si>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</si>
  <si>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</si>
  <si>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</si>
  <si>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</si>
  <si>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</si>
  <si>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</si>
  <si>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</si>
  <si>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</si>
  <si>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</si>
  <si>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</si>
  <si>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</si>
  <si>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</si>
  <si>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</si>
  <si>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</si>
  <si>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</si>
  <si>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</si>
  <si>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</si>
  <si>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</si>
  <si>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</si>
  <si>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</si>
  <si>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</si>
  <si>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</si>
  <si>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Notes from the table session</t>
  </si>
  <si>
    <t xml:space="preserve">F41, F42, F43, F44</t>
  </si>
  <si>
    <t xml:space="preserve">R8, R9</t>
  </si>
  <si>
    <t xml:space="preserve">Slice: leave a fjord, miss a fix, fish, dry nothing, build one joint, see the hold change.</t>
  </si>
  <si>
    <t xml:space="preserve">Build tag slice-1</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</si>
  <si>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</si>
  <si>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</si>
  <si>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</si>
  <si>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</si>
  <si>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</si>
  <si>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</si>
  <si>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</si>
  <si>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</si>
  <si>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</si>
  <si>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</si>
  <si>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</si>
  <si>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</si>
  <si>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</si>
  <si>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</si>
  <si>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</si>
  <si>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</si>
  <si>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</si>
  <si>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</si>
  <si>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</si>
  <si>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</si>
  <si>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</si>
  <si>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</si>
  <si>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</si>
  <si>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</si>
  <si>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</si>
  <si>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</si>
  <si>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</si>
  <si>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 [17 Oct 2026: first playtest failed every mini-game. Retuned: Forgiving / Standard / Hard difficulty, guided prompts, keyboard wind-up, novice-player bots now gate every build.]</t>
  </si>
  <si>
    <t xml:space="preserve">Table testers stop seating stars after three tries</t>
  </si>
  <si>
    <t xml:space="preserve">Watching</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</si>
  <si>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</si>
  <si>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</si>
  <si>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</si>
  <si>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</si>
  <si>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Open</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</si>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</sst>
</file>

<file path=xl/styles.xml><?xml version="1.0" encoding="utf-8"?>
<styleSheet xmlns="http://schemas.openxmlformats.org/spreadsheetml/2006/main">
  <numFmts count="18">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
    <numFmt numFmtId="176" formatCode="@"/>
    <numFmt numFmtId="177" formatCode="0.0;\(0.0\);0.0"/>
    <numFmt numFmtId="178" formatCode="#,##0&quot; days&quot;"/>
    <numFmt numFmtId="179" formatCode="d\ mmm"/>
    <numFmt numFmtId="180" formatCode=";;;"/>
    <numFmt numFmtId="181" formatCode="\$#,##0;&quot;($&quot;#,##0\);\-"/>
  </numFmts>
  <fonts count="25">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76" fontId="16" fillId="10"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7"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8"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9"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1" fontId="11" fillId="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98654844"/>
        <c:axId val="96776336"/>
      </c:barChart>
      <c:catAx>
        <c:axId val="986548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776336"/>
        <c:crosses val="autoZero"/>
        <c:auto val="1"/>
        <c:lblAlgn val="ctr"/>
        <c:lblOffset val="100"/>
        <c:noMultiLvlLbl val="0"/>
      </c:catAx>
      <c:valAx>
        <c:axId val="9677633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65484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743760</xdr:colOff>
      <xdr:row>40</xdr:row>
      <xdr:rowOff>60120</xdr:rowOff>
    </xdr:to>
    <xdr:graphicFrame>
      <xdr:nvGraphicFramePr>
        <xdr:cNvPr id="0" name="Chart 1"/>
        <xdr:cNvGraphicFramePr/>
      </xdr:nvGraphicFramePr>
      <xdr:xfrm>
        <a:off x="0" y="6562800"/>
        <a:ext cx="5395680" cy="2155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1 of 65</v>
      </c>
      <c r="C55" s="31" t="s">
        <v>68</v>
      </c>
      <c r="D55" s="31"/>
      <c r="E55" s="32" t="str">
        <f aca="false">"Info"</f>
        <v>Info</v>
      </c>
      <c r="F55" s="33" t="s">
        <v>69</v>
      </c>
      <c r="G55" s="33"/>
      <c r="H55" s="33"/>
    </row>
    <row r="56" customFormat="false" ht="15" hidden="false" customHeight="true" outlineLevel="0" collapsed="false">
      <c r="A56" s="4" t="s">
        <v>70</v>
      </c>
      <c r="B56" s="38" t="n">
        <f aca="false">Backlog!G86</f>
        <v>0.0261437908496732</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0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1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row r="94" customFormat="false" ht="15" hidden="false" customHeight="true" outlineLevel="0" collapsed="false">
      <c r="A94" s="24" t="s">
        <v>211</v>
      </c>
      <c r="B94" s="24"/>
      <c r="C94" s="24"/>
    </row>
    <row r="95" customFormat="false" ht="15" hidden="false" customHeight="true" outlineLevel="0" collapsed="false">
      <c r="A95" s="9" t="s">
        <v>132</v>
      </c>
      <c r="B95" s="9" t="s">
        <v>42</v>
      </c>
      <c r="C95" s="9" t="s">
        <v>133</v>
      </c>
    </row>
    <row r="96" customFormat="false" ht="15" hidden="false" customHeight="true" outlineLevel="0" collapsed="false">
      <c r="A96" s="42" t="s">
        <v>212</v>
      </c>
      <c r="B96" s="43" t="n">
        <v>145</v>
      </c>
      <c r="C96" s="41" t="s">
        <v>213</v>
      </c>
    </row>
    <row r="97" customFormat="false" ht="15" hidden="false" customHeight="true" outlineLevel="0" collapsed="false">
      <c r="A97" s="50" t="s">
        <v>214</v>
      </c>
      <c r="B97" s="43" t="n">
        <v>273</v>
      </c>
      <c r="C97" s="41" t="s">
        <v>215</v>
      </c>
    </row>
    <row r="98" customFormat="false" ht="15" hidden="false" customHeight="true" outlineLevel="0" collapsed="false">
      <c r="A98" s="42" t="s">
        <v>216</v>
      </c>
      <c r="B98" s="43" t="n">
        <v>24</v>
      </c>
      <c r="C98" s="41" t="s">
        <v>217</v>
      </c>
    </row>
    <row r="99" customFormat="false" ht="15" hidden="false" customHeight="true" outlineLevel="0" collapsed="false">
      <c r="A99" s="50" t="s">
        <v>218</v>
      </c>
      <c r="B99" s="51" t="n">
        <v>1.25</v>
      </c>
      <c r="C99" s="41" t="s">
        <v>219</v>
      </c>
    </row>
    <row r="100" customFormat="false" ht="15" hidden="false" customHeight="true" outlineLevel="0" collapsed="false">
      <c r="A100" s="42" t="s">
        <v>220</v>
      </c>
      <c r="B100" s="51" t="n">
        <v>1</v>
      </c>
      <c r="C100" s="41" t="s">
        <v>219</v>
      </c>
    </row>
    <row r="101" customFormat="false" ht="15" hidden="false" customHeight="true" outlineLevel="0" collapsed="false">
      <c r="A101" s="50" t="s">
        <v>221</v>
      </c>
      <c r="B101" s="51" t="n">
        <v>0.15</v>
      </c>
      <c r="C101" s="41" t="s">
        <v>222</v>
      </c>
    </row>
    <row r="102" customFormat="false" ht="15" hidden="false" customHeight="true" outlineLevel="0" collapsed="false">
      <c r="A102" s="42" t="s">
        <v>223</v>
      </c>
      <c r="B102" s="51" t="n">
        <v>0.08</v>
      </c>
      <c r="C102" s="41" t="s">
        <v>224</v>
      </c>
    </row>
    <row r="103" customFormat="false" ht="15" hidden="false" customHeight="true" outlineLevel="0" collapsed="false">
      <c r="A103" s="50" t="s">
        <v>225</v>
      </c>
      <c r="B103" s="51" t="n">
        <v>0.12</v>
      </c>
      <c r="C103" s="41" t="s">
        <v>224</v>
      </c>
    </row>
    <row r="104" customFormat="false" ht="15" hidden="false" customHeight="true" outlineLevel="0" collapsed="false">
      <c r="A104" s="42" t="s">
        <v>226</v>
      </c>
      <c r="B104" s="51" t="n">
        <v>0.02</v>
      </c>
      <c r="C104" s="41" t="s">
        <v>224</v>
      </c>
    </row>
    <row r="105" customFormat="false" ht="15" hidden="false" customHeight="true" outlineLevel="0" collapsed="false">
      <c r="A105" s="50" t="s">
        <v>227</v>
      </c>
      <c r="B105" s="51" t="n">
        <v>0.1</v>
      </c>
      <c r="C105" s="41" t="s">
        <v>228</v>
      </c>
    </row>
    <row r="106" customFormat="false" ht="15" hidden="false" customHeight="true" outlineLevel="0" collapsed="false">
      <c r="A106" s="42" t="s">
        <v>229</v>
      </c>
      <c r="B106" s="55" t="n">
        <v>0.0005</v>
      </c>
      <c r="C106" s="41" t="s">
        <v>230</v>
      </c>
    </row>
    <row r="107" customFormat="false" ht="15" hidden="false" customHeight="true" outlineLevel="0" collapsed="false">
      <c r="A107" s="50" t="s">
        <v>231</v>
      </c>
      <c r="B107" s="55" t="n">
        <v>0.0015</v>
      </c>
      <c r="C107" s="41" t="s">
        <v>230</v>
      </c>
    </row>
    <row r="108" customFormat="false" ht="15" hidden="false" customHeight="true" outlineLevel="0" collapsed="false">
      <c r="A108" s="42" t="s">
        <v>232</v>
      </c>
      <c r="B108" s="55" t="n">
        <v>0.004</v>
      </c>
      <c r="C108" s="41" t="s">
        <v>230</v>
      </c>
    </row>
    <row r="109" customFormat="false" ht="15" hidden="false" customHeight="true" outlineLevel="0" collapsed="false">
      <c r="A109" s="50" t="s">
        <v>233</v>
      </c>
      <c r="B109" s="51" t="n">
        <v>0.05</v>
      </c>
      <c r="C109" s="41" t="s">
        <v>230</v>
      </c>
    </row>
    <row r="110" customFormat="false" ht="15" hidden="false" customHeight="true" outlineLevel="0" collapsed="false">
      <c r="A110" s="42" t="s">
        <v>234</v>
      </c>
      <c r="B110" s="43" t="n">
        <v>5</v>
      </c>
      <c r="C110" s="41" t="s">
        <v>230</v>
      </c>
    </row>
    <row r="111" customFormat="false" ht="15" hidden="false" customHeight="true" outlineLevel="0" collapsed="false">
      <c r="A111" s="50" t="s">
        <v>235</v>
      </c>
      <c r="B111" s="43" t="n">
        <v>3</v>
      </c>
      <c r="C111" s="41" t="s">
        <v>236</v>
      </c>
    </row>
    <row r="112" customFormat="false" ht="15" hidden="false" customHeight="true" outlineLevel="0" collapsed="false">
      <c r="A112" s="42" t="s">
        <v>237</v>
      </c>
      <c r="B112" s="43" t="n">
        <v>18</v>
      </c>
      <c r="C112" s="41" t="s">
        <v>238</v>
      </c>
    </row>
    <row r="113" customFormat="false" ht="15" hidden="false" customHeight="true" outlineLevel="0" collapsed="false">
      <c r="A113" s="50" t="s">
        <v>239</v>
      </c>
      <c r="B113" s="56" t="s">
        <v>240</v>
      </c>
      <c r="C113" s="41" t="s">
        <v>241</v>
      </c>
    </row>
    <row r="114" customFormat="false" ht="15" hidden="false" customHeight="true" outlineLevel="0" collapsed="false">
      <c r="A114" s="42" t="s">
        <v>242</v>
      </c>
      <c r="B114" s="43" t="n">
        <v>-3</v>
      </c>
      <c r="C114" s="41" t="s">
        <v>243</v>
      </c>
    </row>
    <row r="115" customFormat="false" ht="15" hidden="false" customHeight="true" outlineLevel="0" collapsed="false">
      <c r="A115" s="50" t="s">
        <v>244</v>
      </c>
      <c r="B115" s="43" t="n">
        <v>-10</v>
      </c>
      <c r="C115" s="41" t="s">
        <v>243</v>
      </c>
    </row>
    <row r="116" customFormat="false" ht="15" hidden="false" customHeight="true" outlineLevel="0" collapsed="false">
      <c r="A116" s="42" t="s">
        <v>245</v>
      </c>
      <c r="B116" s="43" t="n">
        <v>8</v>
      </c>
      <c r="C116" s="41" t="s">
        <v>243</v>
      </c>
    </row>
    <row r="117" customFormat="false" ht="15" hidden="false" customHeight="true" outlineLevel="0" collapsed="false">
      <c r="A117" s="50" t="s">
        <v>246</v>
      </c>
      <c r="B117" s="43" t="n">
        <v>2</v>
      </c>
      <c r="C117" s="41" t="s">
        <v>243</v>
      </c>
    </row>
    <row r="118" customFormat="false" ht="15" hidden="false" customHeight="true" outlineLevel="0" collapsed="false">
      <c r="A118" s="42" t="s">
        <v>247</v>
      </c>
      <c r="B118" s="43" t="n">
        <v>15</v>
      </c>
      <c r="C118" s="41" t="s">
        <v>248</v>
      </c>
    </row>
    <row r="119" customFormat="false" ht="15" hidden="false" customHeight="true" outlineLevel="0" collapsed="false">
      <c r="A119" s="42" t="s">
        <v>249</v>
      </c>
      <c r="B119" s="43" t="n">
        <v>25</v>
      </c>
      <c r="C119" s="41" t="s">
        <v>250</v>
      </c>
    </row>
    <row r="120" customFormat="false" ht="15" hidden="false" customHeight="true" outlineLevel="0" collapsed="false">
      <c r="A120" s="42" t="s">
        <v>251</v>
      </c>
      <c r="B120" s="43" t="n">
        <v>6</v>
      </c>
      <c r="C120" s="41" t="s">
        <v>252</v>
      </c>
    </row>
    <row r="122" customFormat="false" ht="15" hidden="false" customHeight="true" outlineLevel="0" collapsed="false">
      <c r="A122" s="24" t="s">
        <v>253</v>
      </c>
      <c r="B122" s="24"/>
      <c r="C122" s="24"/>
    </row>
    <row r="123" customFormat="false" ht="15" hidden="false" customHeight="true" outlineLevel="0" collapsed="false">
      <c r="A123" s="9" t="s">
        <v>132</v>
      </c>
      <c r="B123" s="9" t="s">
        <v>42</v>
      </c>
      <c r="C123" s="9" t="s">
        <v>133</v>
      </c>
    </row>
    <row r="124" customFormat="false" ht="15" hidden="false" customHeight="true" outlineLevel="0" collapsed="false">
      <c r="A124" s="42" t="s">
        <v>254</v>
      </c>
      <c r="B124" s="43" t="n">
        <v>16</v>
      </c>
      <c r="C124" s="41" t="s">
        <v>255</v>
      </c>
    </row>
    <row r="125" customFormat="false" ht="15" hidden="false" customHeight="true" outlineLevel="0" collapsed="false">
      <c r="A125" s="50" t="s">
        <v>256</v>
      </c>
      <c r="B125" s="43" t="n">
        <v>8</v>
      </c>
      <c r="C125" s="41" t="s">
        <v>257</v>
      </c>
    </row>
    <row r="126" customFormat="false" ht="15" hidden="false" customHeight="true" outlineLevel="0" collapsed="false">
      <c r="A126" s="42" t="s">
        <v>258</v>
      </c>
      <c r="B126" s="51" t="n">
        <v>3</v>
      </c>
      <c r="C126" s="41" t="s">
        <v>259</v>
      </c>
    </row>
    <row r="127" customFormat="false" ht="15" hidden="false" customHeight="true" outlineLevel="0" collapsed="false">
      <c r="A127" s="50" t="s">
        <v>260</v>
      </c>
      <c r="B127" s="49" t="n">
        <v>6</v>
      </c>
      <c r="C127" s="41" t="s">
        <v>261</v>
      </c>
    </row>
    <row r="128" customFormat="false" ht="15" hidden="false" customHeight="true" outlineLevel="0" collapsed="false">
      <c r="A128" s="42" t="s">
        <v>262</v>
      </c>
      <c r="B128" s="49" t="n">
        <v>4</v>
      </c>
      <c r="C128" s="41" t="s">
        <v>263</v>
      </c>
    </row>
    <row r="129" customFormat="false" ht="15" hidden="false" customHeight="true" outlineLevel="0" collapsed="false">
      <c r="A129" s="50" t="s">
        <v>264</v>
      </c>
      <c r="B129" s="51" t="n">
        <v>0.05</v>
      </c>
      <c r="C129" s="41" t="s">
        <v>265</v>
      </c>
    </row>
    <row r="130" customFormat="false" ht="15" hidden="false" customHeight="true" outlineLevel="0" collapsed="false">
      <c r="A130" s="42" t="s">
        <v>266</v>
      </c>
      <c r="B130" s="51" t="n">
        <v>0.5</v>
      </c>
      <c r="C130" s="41" t="s">
        <v>267</v>
      </c>
    </row>
    <row r="131" customFormat="false" ht="15" hidden="false" customHeight="true" outlineLevel="0" collapsed="false">
      <c r="A131" s="50" t="s">
        <v>268</v>
      </c>
      <c r="B131" s="43" t="n">
        <v>213</v>
      </c>
      <c r="C131" s="41" t="s">
        <v>269</v>
      </c>
    </row>
    <row r="132" customFormat="false" ht="15" hidden="false" customHeight="true" outlineLevel="0" collapsed="false">
      <c r="A132" s="42" t="s">
        <v>270</v>
      </c>
      <c r="B132" s="49" t="n">
        <v>2</v>
      </c>
      <c r="C132" s="41" t="s">
        <v>271</v>
      </c>
    </row>
    <row r="133" customFormat="false" ht="15" hidden="false" customHeight="true" outlineLevel="0" collapsed="false">
      <c r="A133" s="50" t="s">
        <v>272</v>
      </c>
      <c r="B133" s="43" t="n">
        <v>3</v>
      </c>
      <c r="C133" s="41" t="s">
        <v>273</v>
      </c>
    </row>
    <row r="134" customFormat="false" ht="15" hidden="false" customHeight="true" outlineLevel="0" collapsed="false">
      <c r="A134" s="42" t="s">
        <v>274</v>
      </c>
      <c r="B134" s="43" t="n">
        <v>1</v>
      </c>
      <c r="C134" s="41" t="s">
        <v>275</v>
      </c>
    </row>
    <row r="135" customFormat="false" ht="15" hidden="false" customHeight="true" outlineLevel="0" collapsed="false">
      <c r="A135" s="50" t="s">
        <v>276</v>
      </c>
      <c r="B135" s="43" t="n">
        <v>244</v>
      </c>
      <c r="C135" s="41" t="s">
        <v>277</v>
      </c>
    </row>
    <row r="136" customFormat="false" ht="15" hidden="false" customHeight="true" outlineLevel="0" collapsed="false">
      <c r="A136" s="42" t="s">
        <v>278</v>
      </c>
      <c r="B136" s="43" t="n">
        <v>3</v>
      </c>
      <c r="C136" s="41" t="s">
        <v>279</v>
      </c>
    </row>
    <row r="137" customFormat="false" ht="15" hidden="false" customHeight="true" outlineLevel="0" collapsed="false">
      <c r="A137" s="50" t="s">
        <v>280</v>
      </c>
      <c r="B137" s="43" t="n">
        <v>540</v>
      </c>
      <c r="C137" s="41" t="s">
        <v>281</v>
      </c>
    </row>
  </sheetData>
  <autoFilter ref="A15:C21"/>
  <mergeCells count="20">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 ref="A94:C94"/>
    <mergeCell ref="A122:C12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282</v>
      </c>
      <c r="B2" s="3"/>
      <c r="C2" s="3"/>
      <c r="D2" s="3"/>
      <c r="E2" s="3"/>
    </row>
    <row r="4" customFormat="false" ht="15" hidden="false" customHeight="true" outlineLevel="0" collapsed="false">
      <c r="A4" s="57" t="s">
        <v>283</v>
      </c>
      <c r="B4" s="57" t="s">
        <v>284</v>
      </c>
      <c r="C4" s="57" t="s">
        <v>285</v>
      </c>
      <c r="D4" s="57" t="s">
        <v>286</v>
      </c>
      <c r="E4" s="57" t="s">
        <v>287</v>
      </c>
    </row>
    <row r="5" customFormat="false" ht="31.5" hidden="false" customHeight="true" outlineLevel="0" collapsed="false">
      <c r="A5" s="27" t="s">
        <v>288</v>
      </c>
      <c r="B5" s="27" t="s">
        <v>289</v>
      </c>
      <c r="C5" s="27" t="s">
        <v>290</v>
      </c>
      <c r="D5" s="27" t="s">
        <v>291</v>
      </c>
      <c r="E5" s="27" t="s">
        <v>292</v>
      </c>
    </row>
    <row r="6" customFormat="false" ht="31.5" hidden="false" customHeight="true" outlineLevel="0" collapsed="false">
      <c r="A6" s="58" t="s">
        <v>293</v>
      </c>
      <c r="B6" s="58" t="s">
        <v>294</v>
      </c>
      <c r="C6" s="58" t="s">
        <v>295</v>
      </c>
      <c r="D6" s="58" t="s">
        <v>296</v>
      </c>
      <c r="E6" s="58" t="s">
        <v>292</v>
      </c>
    </row>
    <row r="7" customFormat="false" ht="31.5" hidden="false" customHeight="true" outlineLevel="0" collapsed="false">
      <c r="A7" s="27" t="s">
        <v>297</v>
      </c>
      <c r="B7" s="27" t="s">
        <v>298</v>
      </c>
      <c r="C7" s="27" t="s">
        <v>299</v>
      </c>
      <c r="D7" s="27" t="s">
        <v>300</v>
      </c>
      <c r="E7" s="27" t="s">
        <v>292</v>
      </c>
    </row>
    <row r="8" customFormat="false" ht="31.5" hidden="false" customHeight="true" outlineLevel="0" collapsed="false">
      <c r="A8" s="58" t="s">
        <v>301</v>
      </c>
      <c r="B8" s="58" t="s">
        <v>302</v>
      </c>
      <c r="C8" s="58" t="s">
        <v>303</v>
      </c>
      <c r="D8" s="58" t="s">
        <v>304</v>
      </c>
      <c r="E8" s="58" t="s">
        <v>292</v>
      </c>
    </row>
    <row r="9" customFormat="false" ht="31.5" hidden="false" customHeight="true" outlineLevel="0" collapsed="false">
      <c r="A9" s="27" t="s">
        <v>305</v>
      </c>
      <c r="B9" s="27" t="s">
        <v>306</v>
      </c>
      <c r="C9" s="27" t="s">
        <v>307</v>
      </c>
      <c r="D9" s="27" t="s">
        <v>308</v>
      </c>
      <c r="E9" s="27" t="s">
        <v>292</v>
      </c>
    </row>
    <row r="10" customFormat="false" ht="31.5" hidden="false" customHeight="true" outlineLevel="0" collapsed="false">
      <c r="A10" s="58" t="s">
        <v>309</v>
      </c>
      <c r="B10" s="58" t="s">
        <v>310</v>
      </c>
      <c r="C10" s="58" t="s">
        <v>311</v>
      </c>
      <c r="D10" s="58" t="s">
        <v>312</v>
      </c>
      <c r="E10" s="58" t="s">
        <v>292</v>
      </c>
    </row>
    <row r="11" customFormat="false" ht="31.5" hidden="false" customHeight="true" outlineLevel="0" collapsed="false">
      <c r="A11" s="27" t="s">
        <v>313</v>
      </c>
      <c r="B11" s="27" t="s">
        <v>314</v>
      </c>
      <c r="C11" s="27" t="s">
        <v>315</v>
      </c>
      <c r="D11" s="27" t="s">
        <v>316</v>
      </c>
      <c r="E11" s="27" t="s">
        <v>292</v>
      </c>
    </row>
    <row r="12" customFormat="false" ht="31.5" hidden="false" customHeight="true" outlineLevel="0" collapsed="false">
      <c r="A12" s="58" t="s">
        <v>317</v>
      </c>
      <c r="B12" s="58" t="s">
        <v>318</v>
      </c>
      <c r="C12" s="58" t="s">
        <v>319</v>
      </c>
      <c r="D12" s="58" t="s">
        <v>320</v>
      </c>
      <c r="E12" s="58" t="s">
        <v>292</v>
      </c>
    </row>
    <row r="14" customFormat="false" ht="15" hidden="false" customHeight="true" outlineLevel="0" collapsed="false">
      <c r="A14" s="6" t="s">
        <v>321</v>
      </c>
      <c r="B14" s="6"/>
      <c r="C14" s="6"/>
      <c r="D14" s="6"/>
      <c r="E14" s="6"/>
    </row>
    <row r="15" customFormat="false" ht="15" hidden="false" customHeight="true" outlineLevel="0" collapsed="false">
      <c r="A15" s="9" t="s">
        <v>322</v>
      </c>
      <c r="B15" s="9" t="s">
        <v>323</v>
      </c>
      <c r="C15" s="9" t="s">
        <v>324</v>
      </c>
      <c r="D15" s="9" t="s">
        <v>325</v>
      </c>
      <c r="E15" s="9" t="s">
        <v>95</v>
      </c>
    </row>
    <row r="16" customFormat="false" ht="31.5" hidden="false" customHeight="true" outlineLevel="0" collapsed="false">
      <c r="A16" s="59" t="s">
        <v>326</v>
      </c>
      <c r="B16" s="59" t="s">
        <v>327</v>
      </c>
      <c r="C16" s="59" t="s">
        <v>328</v>
      </c>
      <c r="D16" s="59" t="s">
        <v>329</v>
      </c>
      <c r="E16" s="59" t="s">
        <v>330</v>
      </c>
    </row>
    <row r="17" customFormat="false" ht="31.5" hidden="false" customHeight="true" outlineLevel="0" collapsed="false">
      <c r="A17" s="58" t="s">
        <v>331</v>
      </c>
      <c r="B17" s="58" t="s">
        <v>332</v>
      </c>
      <c r="C17" s="58" t="s">
        <v>333</v>
      </c>
      <c r="D17" s="58" t="s">
        <v>334</v>
      </c>
      <c r="E17" s="58" t="s">
        <v>335</v>
      </c>
    </row>
    <row r="18" customFormat="false" ht="31.5" hidden="false" customHeight="true" outlineLevel="0" collapsed="false">
      <c r="A18" s="59" t="s">
        <v>336</v>
      </c>
      <c r="B18" s="59" t="s">
        <v>337</v>
      </c>
      <c r="C18" s="59" t="s">
        <v>338</v>
      </c>
      <c r="D18" s="59" t="s">
        <v>339</v>
      </c>
      <c r="E18" s="59" t="s">
        <v>340</v>
      </c>
    </row>
    <row r="20" customFormat="false" ht="15" hidden="false" customHeight="true" outlineLevel="0" collapsed="false">
      <c r="A20" s="24" t="s">
        <v>341</v>
      </c>
      <c r="B20" s="24"/>
      <c r="C20" s="24"/>
      <c r="D20" s="24"/>
      <c r="E20" s="24"/>
    </row>
    <row r="21" customFormat="false" ht="15" hidden="false" customHeight="true" outlineLevel="0" collapsed="false">
      <c r="A21" s="9" t="s">
        <v>342</v>
      </c>
      <c r="B21" s="9" t="s">
        <v>343</v>
      </c>
      <c r="C21" s="9" t="s">
        <v>344</v>
      </c>
      <c r="D21" s="9" t="s">
        <v>345</v>
      </c>
      <c r="E21" s="9" t="s">
        <v>346</v>
      </c>
    </row>
    <row r="22" customFormat="false" ht="27.75" hidden="false" customHeight="true" outlineLevel="0" collapsed="false">
      <c r="A22" s="27" t="s">
        <v>347</v>
      </c>
      <c r="B22" s="27" t="s">
        <v>348</v>
      </c>
      <c r="C22" s="27" t="s">
        <v>349</v>
      </c>
      <c r="D22" s="27" t="s">
        <v>350</v>
      </c>
      <c r="E22" s="27" t="s">
        <v>351</v>
      </c>
    </row>
    <row r="23" customFormat="false" ht="27.75" hidden="false" customHeight="true" outlineLevel="0" collapsed="false">
      <c r="A23" s="58" t="s">
        <v>352</v>
      </c>
      <c r="B23" s="58" t="s">
        <v>353</v>
      </c>
      <c r="C23" s="58" t="s">
        <v>354</v>
      </c>
      <c r="D23" s="58" t="s">
        <v>355</v>
      </c>
      <c r="E23" s="58" t="s">
        <v>356</v>
      </c>
    </row>
    <row r="24" customFormat="false" ht="27.75" hidden="false" customHeight="true" outlineLevel="0" collapsed="false">
      <c r="A24" s="27" t="s">
        <v>357</v>
      </c>
      <c r="B24" s="27" t="s">
        <v>358</v>
      </c>
      <c r="C24" s="27" t="s">
        <v>359</v>
      </c>
      <c r="D24" s="27" t="s">
        <v>360</v>
      </c>
      <c r="E24" s="27" t="s">
        <v>361</v>
      </c>
    </row>
    <row r="25" customFormat="false" ht="27.75" hidden="false" customHeight="true" outlineLevel="0" collapsed="false">
      <c r="A25" s="58" t="s">
        <v>362</v>
      </c>
      <c r="B25" s="58" t="s">
        <v>358</v>
      </c>
      <c r="C25" s="58" t="s">
        <v>363</v>
      </c>
      <c r="D25" s="58" t="s">
        <v>364</v>
      </c>
      <c r="E25" s="58" t="s">
        <v>365</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366</v>
      </c>
      <c r="B2" s="3"/>
      <c r="C2" s="3"/>
      <c r="D2" s="3"/>
      <c r="E2" s="3"/>
      <c r="F2" s="3"/>
      <c r="G2" s="3"/>
    </row>
    <row r="4" customFormat="false" ht="15" hidden="false" customHeight="true" outlineLevel="0" collapsed="false">
      <c r="A4" s="57" t="s">
        <v>367</v>
      </c>
      <c r="B4" s="57" t="s">
        <v>368</v>
      </c>
      <c r="C4" s="57" t="s">
        <v>369</v>
      </c>
      <c r="D4" s="57" t="s">
        <v>370</v>
      </c>
      <c r="E4" s="57" t="s">
        <v>371</v>
      </c>
      <c r="F4" s="57" t="s">
        <v>5</v>
      </c>
      <c r="G4" s="9" t="s">
        <v>372</v>
      </c>
    </row>
    <row r="5" customFormat="false" ht="30" hidden="false" customHeight="true" outlineLevel="0" collapsed="false">
      <c r="A5" s="27" t="s">
        <v>373</v>
      </c>
      <c r="B5" s="27" t="s">
        <v>374</v>
      </c>
      <c r="C5" s="27" t="s">
        <v>134</v>
      </c>
      <c r="D5" s="60" t="n">
        <f aca="false">Assumptions!B41</f>
        <v>24</v>
      </c>
      <c r="E5" s="27" t="s">
        <v>375</v>
      </c>
      <c r="F5" s="27" t="s">
        <v>98</v>
      </c>
      <c r="G5" s="27" t="s">
        <v>376</v>
      </c>
    </row>
    <row r="6" customFormat="false" ht="30" hidden="false" customHeight="true" outlineLevel="0" collapsed="false">
      <c r="A6" s="58" t="s">
        <v>377</v>
      </c>
      <c r="B6" s="58" t="s">
        <v>378</v>
      </c>
      <c r="C6" s="58" t="s">
        <v>379</v>
      </c>
      <c r="D6" s="60" t="n">
        <f aca="false">Assumptions!B42</f>
        <v>24</v>
      </c>
      <c r="E6" s="58" t="s">
        <v>380</v>
      </c>
      <c r="F6" s="58" t="s">
        <v>98</v>
      </c>
      <c r="G6" s="58" t="s">
        <v>381</v>
      </c>
    </row>
    <row r="7" customFormat="false" ht="30" hidden="false" customHeight="true" outlineLevel="0" collapsed="false">
      <c r="A7" s="27" t="s">
        <v>228</v>
      </c>
      <c r="B7" s="27" t="s">
        <v>382</v>
      </c>
      <c r="C7" s="27" t="s">
        <v>383</v>
      </c>
      <c r="D7" s="60" t="n">
        <f aca="false">Assumptions!B44</f>
        <v>120</v>
      </c>
      <c r="E7" s="27" t="s">
        <v>384</v>
      </c>
      <c r="F7" s="27" t="s">
        <v>98</v>
      </c>
      <c r="G7" s="27" t="s">
        <v>385</v>
      </c>
    </row>
    <row r="8" customFormat="false" ht="30" hidden="false" customHeight="true" outlineLevel="0" collapsed="false">
      <c r="A8" s="58" t="s">
        <v>386</v>
      </c>
      <c r="B8" s="58" t="s">
        <v>387</v>
      </c>
      <c r="C8" s="58" t="s">
        <v>388</v>
      </c>
      <c r="D8" s="60" t="n">
        <f aca="false">Assumptions!B46</f>
        <v>400</v>
      </c>
      <c r="E8" s="58" t="s">
        <v>389</v>
      </c>
      <c r="F8" s="58" t="s">
        <v>100</v>
      </c>
      <c r="G8" s="58" t="s">
        <v>390</v>
      </c>
    </row>
    <row r="9" customFormat="false" ht="30" hidden="false" customHeight="true" outlineLevel="0" collapsed="false">
      <c r="A9" s="27" t="s">
        <v>391</v>
      </c>
      <c r="B9" s="27" t="s">
        <v>392</v>
      </c>
      <c r="C9" s="27" t="s">
        <v>393</v>
      </c>
      <c r="D9" s="60" t="n">
        <f aca="false">Assumptions!B45</f>
        <v>120</v>
      </c>
      <c r="E9" s="27" t="s">
        <v>394</v>
      </c>
      <c r="F9" s="27" t="s">
        <v>98</v>
      </c>
      <c r="G9" s="27" t="s">
        <v>395</v>
      </c>
    </row>
    <row r="10" customFormat="false" ht="30" hidden="false" customHeight="true" outlineLevel="0" collapsed="false">
      <c r="A10" s="58" t="s">
        <v>219</v>
      </c>
      <c r="B10" s="58" t="s">
        <v>396</v>
      </c>
      <c r="C10" s="58" t="s">
        <v>397</v>
      </c>
      <c r="D10" s="58" t="s">
        <v>292</v>
      </c>
      <c r="E10" s="58" t="s">
        <v>398</v>
      </c>
      <c r="F10" s="58" t="s">
        <v>98</v>
      </c>
      <c r="G10" s="58" t="s">
        <v>399</v>
      </c>
    </row>
    <row r="11" customFormat="false" ht="30" hidden="false" customHeight="true" outlineLevel="0" collapsed="false">
      <c r="A11" s="27" t="s">
        <v>400</v>
      </c>
      <c r="B11" s="27" t="s">
        <v>401</v>
      </c>
      <c r="C11" s="27" t="s">
        <v>397</v>
      </c>
      <c r="D11" s="27" t="s">
        <v>21</v>
      </c>
      <c r="E11" s="27" t="s">
        <v>402</v>
      </c>
      <c r="F11" s="27" t="s">
        <v>98</v>
      </c>
      <c r="G11" s="27" t="s">
        <v>403</v>
      </c>
    </row>
    <row r="12" customFormat="false" ht="30" hidden="false" customHeight="true" outlineLevel="0" collapsed="false">
      <c r="A12" s="58" t="s">
        <v>404</v>
      </c>
      <c r="B12" s="58" t="s">
        <v>405</v>
      </c>
      <c r="C12" s="58" t="s">
        <v>397</v>
      </c>
      <c r="D12" s="58" t="s">
        <v>406</v>
      </c>
      <c r="E12" s="58" t="s">
        <v>407</v>
      </c>
      <c r="F12" s="58" t="s">
        <v>100</v>
      </c>
      <c r="G12" s="58" t="s">
        <v>408</v>
      </c>
    </row>
    <row r="13" customFormat="false" ht="30" hidden="false" customHeight="true" outlineLevel="0" collapsed="false">
      <c r="A13" s="27" t="s">
        <v>409</v>
      </c>
      <c r="B13" s="27" t="s">
        <v>410</v>
      </c>
      <c r="C13" s="27" t="s">
        <v>411</v>
      </c>
      <c r="D13" s="60" t="n">
        <f aca="false">Assumptions!B43</f>
        <v>168</v>
      </c>
      <c r="E13" s="27" t="s">
        <v>412</v>
      </c>
      <c r="F13" s="27" t="s">
        <v>98</v>
      </c>
      <c r="G13" s="27" t="s">
        <v>413</v>
      </c>
    </row>
    <row r="14" customFormat="false" ht="30" hidden="false" customHeight="true" outlineLevel="0" collapsed="false">
      <c r="A14" s="58" t="s">
        <v>414</v>
      </c>
      <c r="B14" s="58" t="s">
        <v>415</v>
      </c>
      <c r="C14" s="58" t="s">
        <v>416</v>
      </c>
      <c r="D14" s="60" t="n">
        <f aca="false">Assumptions!B48</f>
        <v>2</v>
      </c>
      <c r="E14" s="58" t="s">
        <v>417</v>
      </c>
      <c r="F14" s="58" t="s">
        <v>100</v>
      </c>
      <c r="G14" s="58" t="s">
        <v>418</v>
      </c>
    </row>
    <row r="15" customFormat="false" ht="30" hidden="false" customHeight="true" outlineLevel="0" collapsed="false">
      <c r="A15" s="27" t="s">
        <v>419</v>
      </c>
      <c r="B15" s="27" t="s">
        <v>420</v>
      </c>
      <c r="C15" s="27" t="s">
        <v>421</v>
      </c>
      <c r="D15" s="60" t="n">
        <f aca="false">Assumptions!B50</f>
        <v>5</v>
      </c>
      <c r="E15" s="27" t="s">
        <v>422</v>
      </c>
      <c r="F15" s="27" t="s">
        <v>100</v>
      </c>
      <c r="G15" s="27" t="s">
        <v>423</v>
      </c>
    </row>
    <row r="16" customFormat="false" ht="30" hidden="false" customHeight="true" outlineLevel="0" collapsed="false">
      <c r="A16" s="58" t="s">
        <v>424</v>
      </c>
      <c r="B16" s="58" t="s">
        <v>425</v>
      </c>
      <c r="C16" s="58" t="s">
        <v>426</v>
      </c>
      <c r="D16" s="60" t="n">
        <f aca="false">Assumptions!B49</f>
        <v>4</v>
      </c>
      <c r="E16" s="58" t="s">
        <v>151</v>
      </c>
      <c r="F16" s="58" t="s">
        <v>102</v>
      </c>
      <c r="G16" s="58" t="s">
        <v>427</v>
      </c>
    </row>
    <row r="17" customFormat="false" ht="30" hidden="false" customHeight="true" outlineLevel="0" collapsed="false">
      <c r="A17" s="27" t="s">
        <v>428</v>
      </c>
      <c r="B17" s="27" t="s">
        <v>429</v>
      </c>
      <c r="C17" s="27" t="s">
        <v>430</v>
      </c>
      <c r="D17" s="60" t="n">
        <f aca="false">Assumptions!B47</f>
        <v>3</v>
      </c>
      <c r="E17" s="27" t="s">
        <v>431</v>
      </c>
      <c r="F17" s="27" t="s">
        <v>102</v>
      </c>
      <c r="G17" s="27" t="s">
        <v>432</v>
      </c>
    </row>
    <row r="18" customFormat="false" ht="30" hidden="false" customHeight="true" outlineLevel="0" collapsed="false">
      <c r="A18" s="58" t="s">
        <v>433</v>
      </c>
      <c r="B18" s="58" t="s">
        <v>434</v>
      </c>
      <c r="C18" s="58" t="s">
        <v>397</v>
      </c>
      <c r="D18" s="58" t="s">
        <v>292</v>
      </c>
      <c r="E18" s="58" t="s">
        <v>435</v>
      </c>
      <c r="F18" s="58" t="s">
        <v>104</v>
      </c>
      <c r="G18" s="58" t="s">
        <v>436</v>
      </c>
    </row>
    <row r="19" customFormat="false" ht="30" hidden="false" customHeight="true" outlineLevel="0" collapsed="false">
      <c r="A19" s="27" t="s">
        <v>437</v>
      </c>
      <c r="B19" s="27" t="s">
        <v>438</v>
      </c>
      <c r="C19" s="27" t="s">
        <v>439</v>
      </c>
      <c r="D19" s="60" t="n">
        <f aca="false">Assumptions!B47</f>
        <v>3</v>
      </c>
      <c r="E19" s="27" t="s">
        <v>440</v>
      </c>
      <c r="F19" s="27" t="s">
        <v>98</v>
      </c>
      <c r="G19" s="27" t="s">
        <v>441</v>
      </c>
    </row>
    <row r="20" customFormat="false" ht="30" hidden="false" customHeight="true" outlineLevel="0" collapsed="false">
      <c r="A20" s="58" t="s">
        <v>224</v>
      </c>
      <c r="B20" s="58" t="s">
        <v>442</v>
      </c>
      <c r="C20" s="58" t="s">
        <v>397</v>
      </c>
      <c r="D20" s="58" t="s">
        <v>292</v>
      </c>
      <c r="E20" s="58" t="s">
        <v>443</v>
      </c>
      <c r="F20" s="58" t="s">
        <v>100</v>
      </c>
      <c r="G20" s="58" t="s">
        <v>444</v>
      </c>
    </row>
    <row r="21" customFormat="false" ht="30" hidden="false" customHeight="true" outlineLevel="0" collapsed="false">
      <c r="A21" s="27" t="s">
        <v>445</v>
      </c>
      <c r="B21" s="27" t="s">
        <v>446</v>
      </c>
      <c r="C21" s="27" t="s">
        <v>379</v>
      </c>
      <c r="D21" s="60" t="n">
        <f aca="false">Assumptions!B42</f>
        <v>24</v>
      </c>
      <c r="E21" s="27" t="s">
        <v>447</v>
      </c>
      <c r="F21" s="27" t="s">
        <v>100</v>
      </c>
      <c r="G21" s="27" t="s">
        <v>448</v>
      </c>
    </row>
    <row r="22" customFormat="false" ht="30" hidden="false" customHeight="true" outlineLevel="0" collapsed="false">
      <c r="A22" s="58" t="s">
        <v>236</v>
      </c>
      <c r="B22" s="58" t="s">
        <v>449</v>
      </c>
      <c r="C22" s="58" t="s">
        <v>450</v>
      </c>
      <c r="D22" s="60" t="n">
        <f aca="false">Assumptions!B57</f>
        <v>2</v>
      </c>
      <c r="E22" s="58" t="s">
        <v>451</v>
      </c>
      <c r="F22" s="58" t="s">
        <v>100</v>
      </c>
      <c r="G22" s="58" t="s">
        <v>452</v>
      </c>
    </row>
    <row r="23" customFormat="false" ht="30" hidden="false" customHeight="true" outlineLevel="0" collapsed="false">
      <c r="A23" s="27" t="s">
        <v>453</v>
      </c>
      <c r="B23" s="27" t="s">
        <v>454</v>
      </c>
      <c r="C23" s="27" t="s">
        <v>416</v>
      </c>
      <c r="D23" s="60" t="n">
        <f aca="false">Assumptions!B48</f>
        <v>2</v>
      </c>
      <c r="E23" s="27" t="s">
        <v>455</v>
      </c>
      <c r="F23" s="27" t="s">
        <v>100</v>
      </c>
      <c r="G23" s="27" t="s">
        <v>456</v>
      </c>
    </row>
    <row r="24" customFormat="false" ht="30" hidden="false" customHeight="true" outlineLevel="0" collapsed="false">
      <c r="A24" s="58" t="s">
        <v>457</v>
      </c>
      <c r="B24" s="58" t="s">
        <v>458</v>
      </c>
      <c r="C24" s="58" t="s">
        <v>134</v>
      </c>
      <c r="D24" s="60" t="n">
        <f aca="false">Assumptions!B41</f>
        <v>24</v>
      </c>
      <c r="E24" s="58" t="s">
        <v>459</v>
      </c>
      <c r="F24" s="58" t="s">
        <v>98</v>
      </c>
      <c r="G24" s="58" t="s">
        <v>460</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461</v>
      </c>
      <c r="B2" s="3"/>
      <c r="C2" s="3"/>
      <c r="D2" s="3"/>
      <c r="E2" s="3"/>
    </row>
    <row r="4" customFormat="false" ht="15" hidden="false" customHeight="true" outlineLevel="0" collapsed="false">
      <c r="A4" s="6" t="s">
        <v>462</v>
      </c>
      <c r="B4" s="6"/>
      <c r="C4" s="6"/>
      <c r="D4" s="6"/>
      <c r="E4" s="6"/>
    </row>
    <row r="5" customFormat="false" ht="15" hidden="false" customHeight="true" outlineLevel="0" collapsed="false">
      <c r="A5" s="9" t="s">
        <v>110</v>
      </c>
      <c r="B5" s="9" t="s">
        <v>42</v>
      </c>
      <c r="C5" s="9" t="s">
        <v>463</v>
      </c>
      <c r="D5" s="9"/>
      <c r="E5" s="9"/>
    </row>
    <row r="6" customFormat="false" ht="15" hidden="false" customHeight="true" outlineLevel="0" collapsed="false">
      <c r="A6" s="4" t="s">
        <v>464</v>
      </c>
      <c r="B6" s="61" t="n">
        <f aca="false">Assumptions!B62</f>
        <v>1200</v>
      </c>
      <c r="C6" s="33" t="s">
        <v>465</v>
      </c>
      <c r="D6" s="33"/>
      <c r="E6" s="33"/>
    </row>
    <row r="7" customFormat="false" ht="15" hidden="false" customHeight="true" outlineLevel="0" collapsed="false">
      <c r="A7" s="4" t="s">
        <v>142</v>
      </c>
      <c r="B7" s="60" t="n">
        <f aca="false">Assumptions!B45</f>
        <v>120</v>
      </c>
      <c r="C7" s="33" t="s">
        <v>466</v>
      </c>
      <c r="D7" s="33"/>
      <c r="E7" s="33"/>
    </row>
    <row r="8" customFormat="false" ht="15" hidden="false" customHeight="true" outlineLevel="0" collapsed="false">
      <c r="A8" s="4" t="s">
        <v>467</v>
      </c>
      <c r="B8" s="62" t="n">
        <f aca="false">IF(B7=0,0,B6/B7)</f>
        <v>10</v>
      </c>
      <c r="C8" s="33" t="s">
        <v>468</v>
      </c>
      <c r="D8" s="33"/>
      <c r="E8" s="33"/>
    </row>
    <row r="9" customFormat="false" ht="15" hidden="false" customHeight="true" outlineLevel="0" collapsed="false">
      <c r="A9" s="4" t="s">
        <v>172</v>
      </c>
      <c r="B9" s="63" t="n">
        <f aca="false">Assumptions!B63</f>
        <v>1.3</v>
      </c>
      <c r="C9" s="33" t="s">
        <v>469</v>
      </c>
      <c r="D9" s="33"/>
      <c r="E9" s="33"/>
    </row>
    <row r="10" customFormat="false" ht="15" hidden="false" customHeight="true" outlineLevel="0" collapsed="false">
      <c r="A10" s="4" t="s">
        <v>55</v>
      </c>
      <c r="B10" s="32" t="n">
        <f aca="false">ROUNDUP(B8*B9,0)</f>
        <v>13</v>
      </c>
      <c r="C10" s="33" t="s">
        <v>470</v>
      </c>
      <c r="D10" s="33"/>
      <c r="E10" s="33"/>
    </row>
    <row r="12" customFormat="false" ht="15" hidden="false" customHeight="true" outlineLevel="0" collapsed="false">
      <c r="A12" s="6" t="s">
        <v>471</v>
      </c>
      <c r="B12" s="6"/>
      <c r="C12" s="6"/>
      <c r="D12" s="6"/>
      <c r="E12" s="6"/>
    </row>
    <row r="13" customFormat="false" ht="15" hidden="false" customHeight="true" outlineLevel="0" collapsed="false">
      <c r="A13" s="9" t="s">
        <v>472</v>
      </c>
      <c r="B13" s="9" t="s">
        <v>473</v>
      </c>
      <c r="C13" s="9" t="s">
        <v>474</v>
      </c>
      <c r="D13" s="9" t="s">
        <v>475</v>
      </c>
      <c r="E13" s="9" t="s">
        <v>368</v>
      </c>
    </row>
    <row r="14" customFormat="false" ht="15" hidden="false" customHeight="true" outlineLevel="0" collapsed="false">
      <c r="A14" s="58" t="s">
        <v>476</v>
      </c>
      <c r="B14" s="60" t="n">
        <f aca="false">Assumptions!B42</f>
        <v>24</v>
      </c>
      <c r="C14" s="64" t="n">
        <f aca="false">Assumptions!B54</f>
        <v>0.4</v>
      </c>
      <c r="D14" s="62" t="n">
        <f aca="false">B14*C14</f>
        <v>9.6</v>
      </c>
      <c r="E14" s="41" t="s">
        <v>477</v>
      </c>
    </row>
    <row r="15" customFormat="false" ht="15" hidden="false" customHeight="true" outlineLevel="0" collapsed="false">
      <c r="A15" s="27" t="s">
        <v>478</v>
      </c>
      <c r="B15" s="60" t="n">
        <f aca="false">Assumptions!B57</f>
        <v>2</v>
      </c>
      <c r="C15" s="64" t="n">
        <f aca="false">Assumptions!B55</f>
        <v>1.5</v>
      </c>
      <c r="D15" s="62" t="n">
        <f aca="false">B15*C15</f>
        <v>3</v>
      </c>
      <c r="E15" s="41" t="s">
        <v>479</v>
      </c>
    </row>
    <row r="16" customFormat="false" ht="15" hidden="false" customHeight="true" outlineLevel="0" collapsed="false">
      <c r="A16" s="58" t="s">
        <v>480</v>
      </c>
      <c r="B16" s="60" t="n">
        <f aca="false">Assumptions!B58</f>
        <v>6</v>
      </c>
      <c r="C16" s="64" t="n">
        <f aca="false">Assumptions!B56</f>
        <v>0.4</v>
      </c>
      <c r="D16" s="62" t="n">
        <f aca="false">B16*C16</f>
        <v>2.4</v>
      </c>
      <c r="E16" s="41"/>
    </row>
    <row r="17" customFormat="false" ht="15" hidden="false" customHeight="true" outlineLevel="0" collapsed="false">
      <c r="A17" s="27" t="s">
        <v>412</v>
      </c>
      <c r="B17" s="32" t="n">
        <f aca="false">ROUNDUP(B14*$B$10/Assumptions!B43,0)</f>
        <v>2</v>
      </c>
      <c r="C17" s="62" t="n">
        <v>1</v>
      </c>
      <c r="D17" s="62" t="n">
        <f aca="false">B17*C17</f>
        <v>2</v>
      </c>
      <c r="E17" s="41" t="s">
        <v>481</v>
      </c>
    </row>
    <row r="18" customFormat="false" ht="15" hidden="false" customHeight="true" outlineLevel="0" collapsed="false">
      <c r="A18" s="58" t="s">
        <v>482</v>
      </c>
      <c r="B18" s="32" t="n">
        <f aca="false">ROUNDUP(B14*$B$10/Assumptions!B44,0)</f>
        <v>3</v>
      </c>
      <c r="C18" s="62" t="n">
        <v>1</v>
      </c>
      <c r="D18" s="62" t="n">
        <f aca="false">B18*C18</f>
        <v>3</v>
      </c>
      <c r="E18" s="41" t="s">
        <v>483</v>
      </c>
    </row>
    <row r="19" customFormat="false" ht="15" hidden="false" customHeight="true" outlineLevel="0" collapsed="false">
      <c r="A19" s="27" t="s">
        <v>484</v>
      </c>
      <c r="B19" s="32" t="n">
        <f aca="false">ROUNDUP((B15+B16*Assumptions!B60)*$B$10/Assumptions!B59,0)</f>
        <v>2</v>
      </c>
      <c r="C19" s="62" t="n">
        <v>1</v>
      </c>
      <c r="D19" s="62" t="n">
        <f aca="false">B19*C19</f>
        <v>2</v>
      </c>
      <c r="E19" s="41" t="s">
        <v>485</v>
      </c>
    </row>
    <row r="20" customFormat="false" ht="15" hidden="false" customHeight="true" outlineLevel="0" collapsed="false">
      <c r="A20" s="58" t="s">
        <v>486</v>
      </c>
      <c r="B20" s="60" t="n">
        <f aca="false">Assumptions!B61</f>
        <v>2</v>
      </c>
      <c r="C20" s="62" t="n">
        <v>1</v>
      </c>
      <c r="D20" s="62" t="n">
        <f aca="false">B20*C20</f>
        <v>2</v>
      </c>
      <c r="E20" s="41" t="s">
        <v>169</v>
      </c>
    </row>
    <row r="21" customFormat="false" ht="15" hidden="false" customHeight="true" outlineLevel="0" collapsed="false">
      <c r="A21" s="20" t="s">
        <v>487</v>
      </c>
      <c r="B21" s="20"/>
      <c r="C21" s="20"/>
      <c r="D21" s="65" t="n">
        <f aca="false">SUM(D14:D20)</f>
        <v>24</v>
      </c>
      <c r="E21" s="20"/>
    </row>
    <row r="22" customFormat="false" ht="15" hidden="false" customHeight="true" outlineLevel="0" collapsed="false">
      <c r="A22" s="4" t="s">
        <v>488</v>
      </c>
      <c r="D22" s="64" t="n">
        <f aca="false">Assumptions!B41</f>
        <v>24</v>
      </c>
    </row>
    <row r="23" customFormat="false" ht="15" hidden="false" customHeight="true" outlineLevel="0" collapsed="false">
      <c r="A23" s="66" t="s">
        <v>489</v>
      </c>
      <c r="B23" s="66"/>
      <c r="C23" s="66"/>
      <c r="D23" s="67" t="n">
        <f aca="false">ROUND(D22-D21,2)</f>
        <v>0</v>
      </c>
      <c r="E23" s="58"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490</v>
      </c>
      <c r="B25" s="6"/>
      <c r="C25" s="6"/>
      <c r="D25" s="6"/>
      <c r="E25" s="6"/>
    </row>
    <row r="26" customFormat="false" ht="15" hidden="false" customHeight="true" outlineLevel="0" collapsed="false">
      <c r="A26" s="9" t="s">
        <v>472</v>
      </c>
      <c r="B26" s="9" t="s">
        <v>473</v>
      </c>
      <c r="C26" s="9" t="s">
        <v>474</v>
      </c>
      <c r="D26" s="9" t="s">
        <v>475</v>
      </c>
      <c r="E26" s="9" t="s">
        <v>368</v>
      </c>
    </row>
    <row r="27" customFormat="false" ht="15" hidden="false" customHeight="true" outlineLevel="0" collapsed="false">
      <c r="A27" s="27" t="s">
        <v>491</v>
      </c>
      <c r="B27" s="60" t="n">
        <f aca="false">Assumptions!B64</f>
        <v>10</v>
      </c>
      <c r="C27" s="64" t="n">
        <f aca="false">Assumptions!B54</f>
        <v>0.4</v>
      </c>
      <c r="D27" s="62" t="n">
        <f aca="false">B27*C27</f>
        <v>4</v>
      </c>
      <c r="E27" s="41" t="s">
        <v>175</v>
      </c>
    </row>
    <row r="28" customFormat="false" ht="15" hidden="false" customHeight="true" outlineLevel="0" collapsed="false">
      <c r="A28" s="58" t="s">
        <v>492</v>
      </c>
      <c r="B28" s="32" t="n">
        <f aca="false">ROUNDUP(B27*$B$10/Assumptions!B43,0)</f>
        <v>1</v>
      </c>
      <c r="C28" s="62" t="n">
        <v>1</v>
      </c>
      <c r="D28" s="62" t="n">
        <f aca="false">B28*C28</f>
        <v>1</v>
      </c>
      <c r="E28" s="41" t="s">
        <v>493</v>
      </c>
    </row>
    <row r="29" customFormat="false" ht="15" hidden="false" customHeight="true" outlineLevel="0" collapsed="false">
      <c r="A29" s="27" t="s">
        <v>494</v>
      </c>
      <c r="B29" s="32" t="n">
        <f aca="false">ROUNDUP(B27*$B$10/Assumptions!B44,0)</f>
        <v>2</v>
      </c>
      <c r="C29" s="62" t="n">
        <v>1</v>
      </c>
      <c r="D29" s="62" t="n">
        <f aca="false">B29*C29</f>
        <v>2</v>
      </c>
      <c r="E29" s="41"/>
    </row>
    <row r="30" customFormat="false" ht="15" hidden="false" customHeight="true" outlineLevel="0" collapsed="false">
      <c r="A30" s="4" t="s">
        <v>495</v>
      </c>
      <c r="D30" s="62" t="n">
        <f aca="false">SUM(D27:D29)</f>
        <v>7</v>
      </c>
    </row>
    <row r="31" customFormat="false" ht="15" hidden="false" customHeight="true" outlineLevel="0" collapsed="false">
      <c r="A31" s="4" t="s">
        <v>496</v>
      </c>
      <c r="D31" s="62" t="n">
        <f aca="false">Assumptions!B41-D30</f>
        <v>17</v>
      </c>
    </row>
    <row r="32" customFormat="false" ht="15" hidden="false" customHeight="true" outlineLevel="0" collapsed="false">
      <c r="A32" s="4" t="s">
        <v>497</v>
      </c>
      <c r="D32" s="32" t="n">
        <f aca="false">INT(D31/Assumptions!B65)</f>
        <v>17</v>
      </c>
    </row>
    <row r="33" customFormat="false" ht="15" hidden="false" customHeight="true" outlineLevel="0" collapsed="false">
      <c r="A33" s="4" t="s">
        <v>498</v>
      </c>
      <c r="D33" s="60" t="n">
        <f aca="false">Assumptions!B49</f>
        <v>4</v>
      </c>
    </row>
    <row r="34" customFormat="false" ht="15" hidden="false" customHeight="true" outlineLevel="0" collapsed="false">
      <c r="A34" s="66" t="s">
        <v>424</v>
      </c>
      <c r="B34" s="66"/>
      <c r="C34" s="66"/>
      <c r="D34" s="68" t="str">
        <f aca="false">IF(D32&gt;=D33,"Opens","Blocked")</f>
        <v>Opens</v>
      </c>
      <c r="E34" s="58" t="str">
        <f aca="false">IF(D32&gt;=D33,"Room for "&amp;D32&amp;" timber units against a gate of "&amp;D33,"Shrink the return crew or the crossing")</f>
        <v>Room for 17 timber units against a gate of 4</v>
      </c>
    </row>
    <row r="36" customFormat="false" ht="30" hidden="false" customHeight="true" outlineLevel="0" collapsed="false">
      <c r="A36" s="54" t="s">
        <v>499</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500</v>
      </c>
      <c r="B2" s="3"/>
      <c r="C2" s="3"/>
      <c r="D2" s="3"/>
      <c r="E2" s="3"/>
      <c r="F2" s="3"/>
      <c r="G2" s="3"/>
      <c r="H2" s="3"/>
      <c r="I2" s="3"/>
      <c r="J2" s="3"/>
      <c r="K2" s="3"/>
    </row>
    <row r="4" customFormat="false" ht="15" hidden="false" customHeight="true" outlineLevel="0" collapsed="false">
      <c r="A4" s="57" t="s">
        <v>283</v>
      </c>
      <c r="B4" s="57" t="s">
        <v>20</v>
      </c>
      <c r="C4" s="57" t="s">
        <v>501</v>
      </c>
      <c r="D4" s="57" t="s">
        <v>502</v>
      </c>
      <c r="E4" s="57" t="s">
        <v>503</v>
      </c>
      <c r="F4" s="57" t="s">
        <v>504</v>
      </c>
      <c r="G4" s="57" t="s">
        <v>505</v>
      </c>
      <c r="H4" s="57" t="s">
        <v>506</v>
      </c>
      <c r="I4" s="9" t="s">
        <v>372</v>
      </c>
      <c r="J4" s="9" t="s">
        <v>507</v>
      </c>
      <c r="K4" s="9" t="s">
        <v>508</v>
      </c>
    </row>
    <row r="5" customFormat="false" ht="36" hidden="false" customHeight="true" outlineLevel="0" collapsed="false">
      <c r="A5" s="27" t="s">
        <v>509</v>
      </c>
      <c r="B5" s="27" t="s">
        <v>23</v>
      </c>
      <c r="C5" s="27" t="s">
        <v>510</v>
      </c>
      <c r="D5" s="27" t="s">
        <v>511</v>
      </c>
      <c r="E5" s="27" t="s">
        <v>512</v>
      </c>
      <c r="F5" s="27" t="s">
        <v>513</v>
      </c>
      <c r="G5" s="27" t="s">
        <v>514</v>
      </c>
      <c r="H5" s="69" t="n">
        <v>1</v>
      </c>
      <c r="I5" s="27" t="s">
        <v>515</v>
      </c>
      <c r="J5" s="27" t="s">
        <v>516</v>
      </c>
      <c r="K5" s="27" t="s">
        <v>517</v>
      </c>
    </row>
    <row r="6" customFormat="false" ht="36" hidden="false" customHeight="true" outlineLevel="0" collapsed="false">
      <c r="A6" s="58" t="s">
        <v>518</v>
      </c>
      <c r="B6" s="58" t="s">
        <v>23</v>
      </c>
      <c r="C6" s="58" t="s">
        <v>519</v>
      </c>
      <c r="D6" s="58" t="s">
        <v>520</v>
      </c>
      <c r="E6" s="58" t="s">
        <v>521</v>
      </c>
      <c r="F6" s="58" t="s">
        <v>522</v>
      </c>
      <c r="G6" s="58" t="s">
        <v>523</v>
      </c>
      <c r="H6" s="69" t="n">
        <v>2</v>
      </c>
      <c r="I6" s="58" t="s">
        <v>524</v>
      </c>
      <c r="J6" s="58" t="s">
        <v>525</v>
      </c>
      <c r="K6" s="58" t="s">
        <v>526</v>
      </c>
    </row>
    <row r="7" customFormat="false" ht="36" hidden="false" customHeight="true" outlineLevel="0" collapsed="false">
      <c r="A7" s="27" t="s">
        <v>527</v>
      </c>
      <c r="B7" s="27" t="s">
        <v>26</v>
      </c>
      <c r="C7" s="27" t="s">
        <v>528</v>
      </c>
      <c r="D7" s="27" t="s">
        <v>529</v>
      </c>
      <c r="E7" s="27" t="s">
        <v>530</v>
      </c>
      <c r="F7" s="27" t="s">
        <v>531</v>
      </c>
      <c r="G7" s="27" t="s">
        <v>532</v>
      </c>
      <c r="H7" s="69" t="n">
        <v>1</v>
      </c>
      <c r="I7" s="27" t="s">
        <v>533</v>
      </c>
      <c r="J7" s="27" t="s">
        <v>534</v>
      </c>
      <c r="K7" s="27" t="s">
        <v>535</v>
      </c>
    </row>
    <row r="8" customFormat="false" ht="36" hidden="false" customHeight="true" outlineLevel="0" collapsed="false">
      <c r="A8" s="58" t="s">
        <v>536</v>
      </c>
      <c r="B8" s="58" t="s">
        <v>26</v>
      </c>
      <c r="C8" s="58" t="s">
        <v>537</v>
      </c>
      <c r="D8" s="58" t="s">
        <v>538</v>
      </c>
      <c r="E8" s="58" t="s">
        <v>539</v>
      </c>
      <c r="F8" s="58" t="s">
        <v>540</v>
      </c>
      <c r="G8" s="58" t="s">
        <v>541</v>
      </c>
      <c r="H8" s="69" t="n">
        <v>3</v>
      </c>
      <c r="I8" s="58" t="s">
        <v>542</v>
      </c>
      <c r="J8" s="58" t="s">
        <v>543</v>
      </c>
      <c r="K8" s="58" t="s">
        <v>544</v>
      </c>
    </row>
    <row r="9" customFormat="false" ht="36" hidden="false" customHeight="true" outlineLevel="0" collapsed="false">
      <c r="A9" s="27" t="s">
        <v>545</v>
      </c>
      <c r="B9" s="27" t="s">
        <v>29</v>
      </c>
      <c r="C9" s="27" t="s">
        <v>546</v>
      </c>
      <c r="D9" s="27" t="s">
        <v>547</v>
      </c>
      <c r="E9" s="27" t="s">
        <v>548</v>
      </c>
      <c r="F9" s="27" t="s">
        <v>549</v>
      </c>
      <c r="G9" s="27" t="s">
        <v>550</v>
      </c>
      <c r="H9" s="69" t="n">
        <v>2</v>
      </c>
      <c r="I9" s="27" t="s">
        <v>551</v>
      </c>
      <c r="J9" s="27" t="s">
        <v>552</v>
      </c>
      <c r="K9" s="27" t="s">
        <v>553</v>
      </c>
    </row>
    <row r="10" customFormat="false" ht="36" hidden="false" customHeight="true" outlineLevel="0" collapsed="false">
      <c r="A10" s="58" t="s">
        <v>554</v>
      </c>
      <c r="B10" s="58" t="s">
        <v>32</v>
      </c>
      <c r="C10" s="58" t="s">
        <v>555</v>
      </c>
      <c r="D10" s="58" t="s">
        <v>556</v>
      </c>
      <c r="E10" s="58" t="s">
        <v>557</v>
      </c>
      <c r="F10" s="58" t="s">
        <v>558</v>
      </c>
      <c r="G10" s="58" t="s">
        <v>559</v>
      </c>
      <c r="H10" s="69" t="n">
        <v>3</v>
      </c>
      <c r="I10" s="58" t="s">
        <v>560</v>
      </c>
      <c r="J10" s="58" t="s">
        <v>561</v>
      </c>
      <c r="K10" s="58" t="s">
        <v>562</v>
      </c>
    </row>
    <row r="11" customFormat="false" ht="36" hidden="false" customHeight="true" outlineLevel="0" collapsed="false">
      <c r="A11" s="27" t="s">
        <v>563</v>
      </c>
      <c r="B11" s="27" t="s">
        <v>35</v>
      </c>
      <c r="C11" s="27" t="s">
        <v>564</v>
      </c>
      <c r="D11" s="27" t="s">
        <v>565</v>
      </c>
      <c r="E11" s="27" t="s">
        <v>566</v>
      </c>
      <c r="F11" s="27" t="s">
        <v>567</v>
      </c>
      <c r="G11" s="27" t="s">
        <v>568</v>
      </c>
      <c r="H11" s="69" t="n">
        <v>2</v>
      </c>
      <c r="I11" s="27" t="s">
        <v>569</v>
      </c>
      <c r="J11" s="27" t="s">
        <v>570</v>
      </c>
      <c r="K11" s="27" t="s">
        <v>571</v>
      </c>
    </row>
    <row r="12" customFormat="false" ht="36" hidden="false" customHeight="true" outlineLevel="0" collapsed="false">
      <c r="A12" s="58" t="s">
        <v>572</v>
      </c>
      <c r="B12" s="58" t="s">
        <v>35</v>
      </c>
      <c r="C12" s="58" t="s">
        <v>573</v>
      </c>
      <c r="D12" s="58" t="s">
        <v>574</v>
      </c>
      <c r="E12" s="58" t="s">
        <v>575</v>
      </c>
      <c r="F12" s="58" t="s">
        <v>576</v>
      </c>
      <c r="G12" s="58" t="s">
        <v>577</v>
      </c>
      <c r="H12" s="69" t="n">
        <v>3</v>
      </c>
      <c r="I12" s="58" t="s">
        <v>578</v>
      </c>
      <c r="J12" s="58" t="s">
        <v>579</v>
      </c>
      <c r="K12" s="58" t="s">
        <v>580</v>
      </c>
    </row>
    <row r="13" customFormat="false" ht="36" hidden="false" customHeight="true" outlineLevel="0" collapsed="false">
      <c r="A13" s="27" t="s">
        <v>581</v>
      </c>
      <c r="B13" s="27" t="s">
        <v>35</v>
      </c>
      <c r="C13" s="27" t="s">
        <v>582</v>
      </c>
      <c r="D13" s="27" t="s">
        <v>583</v>
      </c>
      <c r="E13" s="27" t="s">
        <v>584</v>
      </c>
      <c r="F13" s="27" t="s">
        <v>585</v>
      </c>
      <c r="G13" s="27" t="s">
        <v>586</v>
      </c>
      <c r="H13" s="69" t="n">
        <v>4</v>
      </c>
      <c r="I13" s="27" t="s">
        <v>587</v>
      </c>
      <c r="J13" s="27" t="s">
        <v>588</v>
      </c>
      <c r="K13" s="27" t="s">
        <v>589</v>
      </c>
    </row>
    <row r="14" customFormat="false" ht="36" hidden="false" customHeight="true" outlineLevel="0" collapsed="false">
      <c r="A14" s="58" t="s">
        <v>590</v>
      </c>
      <c r="B14" s="58" t="s">
        <v>591</v>
      </c>
      <c r="C14" s="58" t="s">
        <v>592</v>
      </c>
      <c r="D14" s="58" t="s">
        <v>593</v>
      </c>
      <c r="E14" s="58" t="s">
        <v>594</v>
      </c>
      <c r="F14" s="58" t="s">
        <v>595</v>
      </c>
      <c r="G14" s="58" t="s">
        <v>596</v>
      </c>
      <c r="H14" s="69" t="n">
        <v>2</v>
      </c>
      <c r="I14" s="58" t="s">
        <v>597</v>
      </c>
      <c r="J14" s="58" t="s">
        <v>598</v>
      </c>
      <c r="K14" s="58" t="s">
        <v>599</v>
      </c>
    </row>
    <row r="16" customFormat="false" ht="15" hidden="false" customHeight="true" outlineLevel="0" collapsed="false">
      <c r="A16" s="24" t="s">
        <v>600</v>
      </c>
      <c r="B16" s="24"/>
      <c r="C16" s="24"/>
      <c r="D16" s="24"/>
      <c r="E16" s="24"/>
      <c r="F16" s="24"/>
      <c r="G16" s="24"/>
      <c r="H16" s="24"/>
    </row>
    <row r="17" customFormat="false" ht="15" hidden="false" customHeight="true" outlineLevel="0" collapsed="false">
      <c r="A17" s="26" t="s">
        <v>601</v>
      </c>
      <c r="B17" s="70" t="s">
        <v>602</v>
      </c>
      <c r="C17" s="70"/>
      <c r="D17" s="70"/>
      <c r="E17" s="70"/>
      <c r="F17" s="70"/>
      <c r="G17" s="70"/>
      <c r="H17" s="70"/>
    </row>
    <row r="18" customFormat="false" ht="15" hidden="false" customHeight="true" outlineLevel="0" collapsed="false">
      <c r="A18" s="26" t="s">
        <v>603</v>
      </c>
      <c r="B18" s="70" t="s">
        <v>604</v>
      </c>
      <c r="C18" s="70"/>
      <c r="D18" s="70"/>
      <c r="E18" s="70"/>
      <c r="F18" s="70"/>
      <c r="G18" s="70"/>
      <c r="H18" s="70"/>
    </row>
    <row r="19" customFormat="false" ht="15" hidden="false" customHeight="true" outlineLevel="0" collapsed="false">
      <c r="A19" s="26" t="s">
        <v>605</v>
      </c>
      <c r="B19" s="70" t="s">
        <v>606</v>
      </c>
      <c r="C19" s="70"/>
      <c r="D19" s="70"/>
      <c r="E19" s="70"/>
      <c r="F19" s="70"/>
      <c r="G19" s="70"/>
      <c r="H19" s="70"/>
    </row>
    <row r="20" customFormat="false" ht="15" hidden="false" customHeight="true" outlineLevel="0" collapsed="false">
      <c r="A20" s="26" t="s">
        <v>607</v>
      </c>
      <c r="B20" s="70" t="s">
        <v>608</v>
      </c>
      <c r="C20" s="70"/>
      <c r="D20" s="70"/>
      <c r="E20" s="70"/>
      <c r="F20" s="70"/>
      <c r="G20" s="70"/>
      <c r="H20" s="70"/>
    </row>
    <row r="21" customFormat="false" ht="15" hidden="false" customHeight="true" outlineLevel="0" collapsed="false">
      <c r="A21" s="26" t="s">
        <v>609</v>
      </c>
      <c r="B21" s="70" t="s">
        <v>610</v>
      </c>
      <c r="C21" s="70"/>
      <c r="D21" s="70"/>
      <c r="E21" s="70"/>
      <c r="F21" s="70"/>
      <c r="G21" s="70"/>
      <c r="H21" s="70"/>
    </row>
    <row r="22" customFormat="false" ht="15" hidden="false" customHeight="true" outlineLevel="0" collapsed="false">
      <c r="A22" s="26" t="s">
        <v>611</v>
      </c>
      <c r="B22" s="70" t="s">
        <v>612</v>
      </c>
      <c r="C22" s="70"/>
      <c r="D22" s="70"/>
      <c r="E22" s="70"/>
      <c r="F22" s="70"/>
      <c r="G22" s="70"/>
      <c r="H22" s="70"/>
    </row>
    <row r="23" customFormat="false" ht="15" hidden="false" customHeight="true" outlineLevel="0" collapsed="false">
      <c r="A23" s="26" t="s">
        <v>613</v>
      </c>
      <c r="B23" s="70" t="s">
        <v>614</v>
      </c>
      <c r="C23" s="70"/>
      <c r="D23" s="70"/>
      <c r="E23" s="70"/>
      <c r="F23" s="70"/>
      <c r="G23" s="70"/>
      <c r="H23" s="70"/>
    </row>
    <row r="25" customFormat="false" ht="15" hidden="false" customHeight="true" outlineLevel="0" collapsed="false">
      <c r="A25" s="71" t="s">
        <v>615</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616</v>
      </c>
      <c r="B2" s="3"/>
      <c r="C2" s="3"/>
      <c r="D2" s="3"/>
      <c r="E2" s="3"/>
      <c r="F2" s="3"/>
      <c r="G2" s="3"/>
      <c r="H2" s="3"/>
      <c r="I2" s="3"/>
      <c r="J2" s="3"/>
    </row>
    <row r="4" customFormat="false" ht="15" hidden="false" customHeight="true" outlineLevel="0" collapsed="false">
      <c r="A4" s="9" t="s">
        <v>283</v>
      </c>
      <c r="B4" s="9" t="s">
        <v>617</v>
      </c>
      <c r="C4" s="9" t="s">
        <v>367</v>
      </c>
      <c r="D4" s="9" t="s">
        <v>5</v>
      </c>
      <c r="E4" s="9" t="s">
        <v>618</v>
      </c>
      <c r="F4" s="9" t="s">
        <v>619</v>
      </c>
      <c r="G4" s="9" t="s">
        <v>620</v>
      </c>
      <c r="H4" s="9" t="s">
        <v>621</v>
      </c>
      <c r="I4" s="9" t="s">
        <v>44</v>
      </c>
      <c r="J4" s="9" t="s">
        <v>622</v>
      </c>
    </row>
    <row r="5" customFormat="false" ht="27" hidden="false" customHeight="true" outlineLevel="0" collapsed="false">
      <c r="A5" s="27" t="s">
        <v>623</v>
      </c>
      <c r="B5" s="27" t="s">
        <v>624</v>
      </c>
      <c r="C5" s="27" t="s">
        <v>23</v>
      </c>
      <c r="D5" s="27" t="s">
        <v>96</v>
      </c>
      <c r="E5" s="27" t="s">
        <v>625</v>
      </c>
      <c r="F5" s="27" t="s">
        <v>292</v>
      </c>
      <c r="G5" s="43" t="n">
        <v>5</v>
      </c>
      <c r="H5" s="27" t="s">
        <v>397</v>
      </c>
      <c r="I5" s="69" t="s">
        <v>626</v>
      </c>
      <c r="J5" s="27" t="s">
        <v>627</v>
      </c>
    </row>
    <row r="6" customFormat="false" ht="27" hidden="false" customHeight="true" outlineLevel="0" collapsed="false">
      <c r="A6" s="58" t="s">
        <v>628</v>
      </c>
      <c r="B6" s="58" t="s">
        <v>629</v>
      </c>
      <c r="C6" s="58" t="s">
        <v>630</v>
      </c>
      <c r="D6" s="58" t="s">
        <v>96</v>
      </c>
      <c r="E6" s="58" t="s">
        <v>625</v>
      </c>
      <c r="F6" s="58" t="s">
        <v>631</v>
      </c>
      <c r="G6" s="43" t="n">
        <v>8</v>
      </c>
      <c r="H6" s="58" t="s">
        <v>623</v>
      </c>
      <c r="I6" s="69" t="s">
        <v>632</v>
      </c>
      <c r="J6" s="58" t="s">
        <v>633</v>
      </c>
    </row>
    <row r="7" customFormat="false" ht="27" hidden="false" customHeight="true" outlineLevel="0" collapsed="false">
      <c r="A7" s="27" t="s">
        <v>634</v>
      </c>
      <c r="B7" s="27" t="s">
        <v>635</v>
      </c>
      <c r="C7" s="27" t="s">
        <v>630</v>
      </c>
      <c r="D7" s="27" t="s">
        <v>96</v>
      </c>
      <c r="E7" s="27" t="s">
        <v>625</v>
      </c>
      <c r="F7" s="27" t="s">
        <v>631</v>
      </c>
      <c r="G7" s="43" t="n">
        <v>3</v>
      </c>
      <c r="H7" s="27" t="s">
        <v>628</v>
      </c>
      <c r="I7" s="69" t="s">
        <v>626</v>
      </c>
      <c r="J7" s="27" t="s">
        <v>636</v>
      </c>
    </row>
    <row r="8" customFormat="false" ht="27" hidden="false" customHeight="true" outlineLevel="0" collapsed="false">
      <c r="A8" s="58" t="s">
        <v>637</v>
      </c>
      <c r="B8" s="58" t="s">
        <v>638</v>
      </c>
      <c r="C8" s="58" t="s">
        <v>639</v>
      </c>
      <c r="D8" s="58" t="s">
        <v>96</v>
      </c>
      <c r="E8" s="58" t="s">
        <v>625</v>
      </c>
      <c r="F8" s="58" t="s">
        <v>639</v>
      </c>
      <c r="G8" s="43" t="n">
        <v>5</v>
      </c>
      <c r="H8" s="58" t="s">
        <v>397</v>
      </c>
      <c r="I8" s="69" t="s">
        <v>640</v>
      </c>
      <c r="J8" s="58" t="s">
        <v>641</v>
      </c>
    </row>
    <row r="9" customFormat="false" ht="27" hidden="false" customHeight="true" outlineLevel="0" collapsed="false">
      <c r="A9" s="27" t="s">
        <v>376</v>
      </c>
      <c r="B9" s="27" t="s">
        <v>642</v>
      </c>
      <c r="C9" s="27" t="s">
        <v>643</v>
      </c>
      <c r="D9" s="27" t="s">
        <v>98</v>
      </c>
      <c r="E9" s="27" t="s">
        <v>625</v>
      </c>
      <c r="F9" s="27" t="s">
        <v>631</v>
      </c>
      <c r="G9" s="43" t="n">
        <v>8</v>
      </c>
      <c r="H9" s="27" t="s">
        <v>397</v>
      </c>
      <c r="I9" s="69" t="s">
        <v>626</v>
      </c>
      <c r="J9" s="27" t="s">
        <v>644</v>
      </c>
    </row>
    <row r="10" customFormat="false" ht="27" hidden="false" customHeight="true" outlineLevel="0" collapsed="false">
      <c r="A10" s="58" t="s">
        <v>395</v>
      </c>
      <c r="B10" s="58" t="s">
        <v>645</v>
      </c>
      <c r="C10" s="58" t="s">
        <v>646</v>
      </c>
      <c r="D10" s="58" t="s">
        <v>98</v>
      </c>
      <c r="E10" s="58" t="s">
        <v>625</v>
      </c>
      <c r="F10" s="58" t="s">
        <v>631</v>
      </c>
      <c r="G10" s="43" t="n">
        <v>10</v>
      </c>
      <c r="H10" s="58" t="s">
        <v>376</v>
      </c>
      <c r="I10" s="69" t="s">
        <v>626</v>
      </c>
      <c r="J10" s="58" t="s">
        <v>647</v>
      </c>
    </row>
    <row r="11" customFormat="false" ht="27" hidden="false" customHeight="true" outlineLevel="0" collapsed="false">
      <c r="A11" s="27" t="s">
        <v>515</v>
      </c>
      <c r="B11" s="27" t="s">
        <v>648</v>
      </c>
      <c r="C11" s="27" t="s">
        <v>23</v>
      </c>
      <c r="D11" s="27" t="s">
        <v>98</v>
      </c>
      <c r="E11" s="27" t="s">
        <v>625</v>
      </c>
      <c r="F11" s="27" t="s">
        <v>292</v>
      </c>
      <c r="G11" s="43" t="n">
        <v>12</v>
      </c>
      <c r="H11" s="27" t="s">
        <v>395</v>
      </c>
      <c r="I11" s="69" t="s">
        <v>626</v>
      </c>
      <c r="J11" s="27" t="s">
        <v>649</v>
      </c>
    </row>
    <row r="12" customFormat="false" ht="27" hidden="false" customHeight="true" outlineLevel="0" collapsed="false">
      <c r="A12" s="58" t="s">
        <v>524</v>
      </c>
      <c r="B12" s="58" t="s">
        <v>650</v>
      </c>
      <c r="C12" s="58" t="s">
        <v>23</v>
      </c>
      <c r="D12" s="58" t="s">
        <v>98</v>
      </c>
      <c r="E12" s="58" t="s">
        <v>625</v>
      </c>
      <c r="F12" s="58" t="s">
        <v>292</v>
      </c>
      <c r="G12" s="43" t="n">
        <v>6</v>
      </c>
      <c r="H12" s="58" t="s">
        <v>515</v>
      </c>
      <c r="I12" s="69" t="s">
        <v>640</v>
      </c>
      <c r="J12" s="58" t="s">
        <v>651</v>
      </c>
    </row>
    <row r="13" customFormat="false" ht="27" hidden="false" customHeight="true" outlineLevel="0" collapsed="false">
      <c r="A13" s="27" t="s">
        <v>533</v>
      </c>
      <c r="B13" s="27" t="s">
        <v>652</v>
      </c>
      <c r="C13" s="27" t="s">
        <v>26</v>
      </c>
      <c r="D13" s="27" t="s">
        <v>98</v>
      </c>
      <c r="E13" s="27" t="s">
        <v>625</v>
      </c>
      <c r="F13" s="27" t="s">
        <v>292</v>
      </c>
      <c r="G13" s="43" t="n">
        <v>8</v>
      </c>
      <c r="H13" s="27" t="s">
        <v>395</v>
      </c>
      <c r="I13" s="69" t="s">
        <v>626</v>
      </c>
      <c r="J13" s="27" t="s">
        <v>653</v>
      </c>
    </row>
    <row r="14" customFormat="false" ht="27" hidden="false" customHeight="true" outlineLevel="0" collapsed="false">
      <c r="A14" s="58" t="s">
        <v>654</v>
      </c>
      <c r="B14" s="58" t="s">
        <v>655</v>
      </c>
      <c r="C14" s="58" t="s">
        <v>336</v>
      </c>
      <c r="D14" s="58" t="s">
        <v>98</v>
      </c>
      <c r="E14" s="58" t="s">
        <v>625</v>
      </c>
      <c r="F14" s="58" t="s">
        <v>292</v>
      </c>
      <c r="G14" s="43" t="n">
        <v>8</v>
      </c>
      <c r="H14" s="58" t="s">
        <v>376</v>
      </c>
      <c r="I14" s="69" t="s">
        <v>626</v>
      </c>
      <c r="J14" s="58" t="s">
        <v>656</v>
      </c>
    </row>
    <row r="15" customFormat="false" ht="27" hidden="false" customHeight="true" outlineLevel="0" collapsed="false">
      <c r="A15" s="27" t="s">
        <v>569</v>
      </c>
      <c r="B15" s="27" t="s">
        <v>657</v>
      </c>
      <c r="C15" s="27" t="s">
        <v>35</v>
      </c>
      <c r="D15" s="27" t="s">
        <v>98</v>
      </c>
      <c r="E15" s="27" t="s">
        <v>625</v>
      </c>
      <c r="F15" s="27" t="s">
        <v>631</v>
      </c>
      <c r="G15" s="43" t="n">
        <v>8</v>
      </c>
      <c r="H15" s="27" t="s">
        <v>654</v>
      </c>
      <c r="I15" s="69" t="s">
        <v>626</v>
      </c>
      <c r="J15" s="27" t="s">
        <v>658</v>
      </c>
    </row>
    <row r="16" customFormat="false" ht="27" hidden="false" customHeight="true" outlineLevel="0" collapsed="false">
      <c r="A16" s="58" t="s">
        <v>659</v>
      </c>
      <c r="B16" s="58" t="s">
        <v>660</v>
      </c>
      <c r="C16" s="58" t="s">
        <v>502</v>
      </c>
      <c r="D16" s="58" t="s">
        <v>98</v>
      </c>
      <c r="E16" s="58" t="s">
        <v>625</v>
      </c>
      <c r="F16" s="58" t="s">
        <v>631</v>
      </c>
      <c r="G16" s="43" t="n">
        <v>6</v>
      </c>
      <c r="H16" s="58" t="s">
        <v>515</v>
      </c>
      <c r="I16" s="69" t="s">
        <v>626</v>
      </c>
      <c r="J16" s="58" t="s">
        <v>661</v>
      </c>
    </row>
    <row r="17" customFormat="false" ht="27" hidden="false" customHeight="true" outlineLevel="0" collapsed="false">
      <c r="A17" s="27" t="s">
        <v>441</v>
      </c>
      <c r="B17" s="27" t="s">
        <v>662</v>
      </c>
      <c r="C17" s="27" t="s">
        <v>663</v>
      </c>
      <c r="D17" s="27" t="s">
        <v>98</v>
      </c>
      <c r="E17" s="27" t="s">
        <v>625</v>
      </c>
      <c r="F17" s="27" t="s">
        <v>631</v>
      </c>
      <c r="G17" s="43" t="n">
        <v>4</v>
      </c>
      <c r="H17" s="27" t="s">
        <v>395</v>
      </c>
      <c r="I17" s="69" t="s">
        <v>626</v>
      </c>
      <c r="J17" s="27" t="s">
        <v>664</v>
      </c>
    </row>
    <row r="18" customFormat="false" ht="27" hidden="false" customHeight="true" outlineLevel="0" collapsed="false">
      <c r="A18" s="58" t="s">
        <v>665</v>
      </c>
      <c r="B18" s="58" t="s">
        <v>666</v>
      </c>
      <c r="C18" s="58" t="s">
        <v>667</v>
      </c>
      <c r="D18" s="58" t="s">
        <v>98</v>
      </c>
      <c r="E18" s="58" t="s">
        <v>625</v>
      </c>
      <c r="F18" s="58" t="s">
        <v>639</v>
      </c>
      <c r="G18" s="43" t="n">
        <v>5</v>
      </c>
      <c r="H18" s="58" t="s">
        <v>376</v>
      </c>
      <c r="I18" s="69" t="s">
        <v>640</v>
      </c>
      <c r="J18" s="58" t="s">
        <v>668</v>
      </c>
    </row>
    <row r="19" customFormat="false" ht="27" hidden="false" customHeight="true" outlineLevel="0" collapsed="false">
      <c r="A19" s="27" t="s">
        <v>385</v>
      </c>
      <c r="B19" s="27" t="s">
        <v>669</v>
      </c>
      <c r="C19" s="27" t="s">
        <v>643</v>
      </c>
      <c r="D19" s="27" t="s">
        <v>98</v>
      </c>
      <c r="E19" s="27" t="s">
        <v>625</v>
      </c>
      <c r="F19" s="27" t="s">
        <v>631</v>
      </c>
      <c r="G19" s="43" t="n">
        <v>3</v>
      </c>
      <c r="H19" s="27" t="s">
        <v>376</v>
      </c>
      <c r="I19" s="69" t="s">
        <v>626</v>
      </c>
      <c r="J19" s="27" t="s">
        <v>670</v>
      </c>
    </row>
    <row r="20" customFormat="false" ht="27" hidden="false" customHeight="true" outlineLevel="0" collapsed="false">
      <c r="A20" s="58" t="s">
        <v>399</v>
      </c>
      <c r="B20" s="58" t="s">
        <v>671</v>
      </c>
      <c r="C20" s="58" t="s">
        <v>646</v>
      </c>
      <c r="D20" s="58" t="s">
        <v>98</v>
      </c>
      <c r="E20" s="58" t="s">
        <v>625</v>
      </c>
      <c r="F20" s="58" t="s">
        <v>631</v>
      </c>
      <c r="G20" s="43" t="n">
        <v>4</v>
      </c>
      <c r="H20" s="58" t="s">
        <v>515</v>
      </c>
      <c r="I20" s="69" t="s">
        <v>626</v>
      </c>
      <c r="J20" s="58" t="s">
        <v>672</v>
      </c>
    </row>
    <row r="21" customFormat="false" ht="27" hidden="false" customHeight="true" outlineLevel="0" collapsed="false">
      <c r="A21" s="27" t="s">
        <v>673</v>
      </c>
      <c r="B21" s="27" t="s">
        <v>674</v>
      </c>
      <c r="C21" s="27" t="s">
        <v>675</v>
      </c>
      <c r="D21" s="27" t="s">
        <v>98</v>
      </c>
      <c r="E21" s="27" t="s">
        <v>625</v>
      </c>
      <c r="F21" s="27" t="s">
        <v>631</v>
      </c>
      <c r="G21" s="43" t="n">
        <v>3</v>
      </c>
      <c r="H21" s="27" t="s">
        <v>395</v>
      </c>
      <c r="I21" s="69" t="s">
        <v>626</v>
      </c>
      <c r="J21" s="27" t="s">
        <v>676</v>
      </c>
    </row>
    <row r="22" customFormat="false" ht="27" hidden="false" customHeight="true" outlineLevel="0" collapsed="false">
      <c r="A22" s="58" t="s">
        <v>677</v>
      </c>
      <c r="B22" s="58" t="s">
        <v>678</v>
      </c>
      <c r="C22" s="58" t="s">
        <v>502</v>
      </c>
      <c r="D22" s="58" t="s">
        <v>98</v>
      </c>
      <c r="E22" s="58" t="s">
        <v>625</v>
      </c>
      <c r="F22" s="58" t="s">
        <v>631</v>
      </c>
      <c r="G22" s="43" t="n">
        <v>3</v>
      </c>
      <c r="H22" s="58" t="s">
        <v>659</v>
      </c>
      <c r="I22" s="69" t="s">
        <v>640</v>
      </c>
      <c r="J22" s="58" t="s">
        <v>679</v>
      </c>
    </row>
    <row r="23" customFormat="false" ht="27" hidden="false" customHeight="true" outlineLevel="0" collapsed="false">
      <c r="A23" s="27" t="s">
        <v>680</v>
      </c>
      <c r="B23" s="27" t="s">
        <v>681</v>
      </c>
      <c r="C23" s="27" t="s">
        <v>682</v>
      </c>
      <c r="D23" s="27" t="s">
        <v>98</v>
      </c>
      <c r="E23" s="27" t="s">
        <v>683</v>
      </c>
      <c r="F23" s="27" t="s">
        <v>100</v>
      </c>
      <c r="G23" s="43" t="n">
        <v>3</v>
      </c>
      <c r="H23" s="27" t="s">
        <v>637</v>
      </c>
      <c r="I23" s="69" t="s">
        <v>640</v>
      </c>
      <c r="J23" s="27" t="s">
        <v>684</v>
      </c>
    </row>
    <row r="24" customFormat="false" ht="27" hidden="false" customHeight="true" outlineLevel="0" collapsed="false">
      <c r="A24" s="58" t="s">
        <v>408</v>
      </c>
      <c r="B24" s="58" t="s">
        <v>404</v>
      </c>
      <c r="C24" s="58" t="s">
        <v>646</v>
      </c>
      <c r="D24" s="58" t="s">
        <v>100</v>
      </c>
      <c r="E24" s="58" t="s">
        <v>625</v>
      </c>
      <c r="F24" s="58" t="s">
        <v>292</v>
      </c>
      <c r="G24" s="43" t="n">
        <v>8</v>
      </c>
      <c r="H24" s="58" t="s">
        <v>395</v>
      </c>
      <c r="I24" s="69" t="s">
        <v>626</v>
      </c>
      <c r="J24" s="58" t="s">
        <v>685</v>
      </c>
    </row>
    <row r="25" customFormat="false" ht="27" hidden="false" customHeight="true" outlineLevel="0" collapsed="false">
      <c r="A25" s="27" t="s">
        <v>597</v>
      </c>
      <c r="B25" s="27" t="s">
        <v>592</v>
      </c>
      <c r="C25" s="27" t="s">
        <v>646</v>
      </c>
      <c r="D25" s="27" t="s">
        <v>100</v>
      </c>
      <c r="E25" s="27" t="s">
        <v>625</v>
      </c>
      <c r="F25" s="27" t="s">
        <v>292</v>
      </c>
      <c r="G25" s="43" t="n">
        <v>5</v>
      </c>
      <c r="H25" s="27" t="s">
        <v>408</v>
      </c>
      <c r="I25" s="69" t="s">
        <v>640</v>
      </c>
      <c r="J25" s="27" t="s">
        <v>686</v>
      </c>
    </row>
    <row r="26" customFormat="false" ht="27" hidden="false" customHeight="true" outlineLevel="0" collapsed="false">
      <c r="A26" s="58" t="s">
        <v>687</v>
      </c>
      <c r="B26" s="58" t="s">
        <v>688</v>
      </c>
      <c r="C26" s="58" t="s">
        <v>646</v>
      </c>
      <c r="D26" s="58" t="s">
        <v>100</v>
      </c>
      <c r="E26" s="58" t="s">
        <v>625</v>
      </c>
      <c r="F26" s="58" t="s">
        <v>292</v>
      </c>
      <c r="G26" s="43" t="n">
        <v>10</v>
      </c>
      <c r="H26" s="58" t="s">
        <v>408</v>
      </c>
      <c r="I26" s="69" t="s">
        <v>640</v>
      </c>
      <c r="J26" s="58" t="s">
        <v>689</v>
      </c>
    </row>
    <row r="27" customFormat="false" ht="27" hidden="false" customHeight="true" outlineLevel="0" collapsed="false">
      <c r="A27" s="27" t="s">
        <v>551</v>
      </c>
      <c r="B27" s="27" t="s">
        <v>546</v>
      </c>
      <c r="C27" s="27" t="s">
        <v>29</v>
      </c>
      <c r="D27" s="27" t="s">
        <v>100</v>
      </c>
      <c r="E27" s="27" t="s">
        <v>625</v>
      </c>
      <c r="F27" s="27" t="s">
        <v>292</v>
      </c>
      <c r="G27" s="43" t="n">
        <v>10</v>
      </c>
      <c r="H27" s="27" t="s">
        <v>654</v>
      </c>
      <c r="I27" s="69" t="s">
        <v>640</v>
      </c>
      <c r="J27" s="27" t="s">
        <v>690</v>
      </c>
    </row>
    <row r="28" customFormat="false" ht="27" hidden="false" customHeight="true" outlineLevel="0" collapsed="false">
      <c r="A28" s="58" t="s">
        <v>560</v>
      </c>
      <c r="B28" s="58" t="s">
        <v>691</v>
      </c>
      <c r="C28" s="58" t="s">
        <v>32</v>
      </c>
      <c r="D28" s="58" t="s">
        <v>100</v>
      </c>
      <c r="E28" s="58" t="s">
        <v>625</v>
      </c>
      <c r="F28" s="58" t="s">
        <v>292</v>
      </c>
      <c r="G28" s="43" t="n">
        <v>6</v>
      </c>
      <c r="H28" s="58" t="s">
        <v>654</v>
      </c>
      <c r="I28" s="69" t="s">
        <v>640</v>
      </c>
      <c r="J28" s="58" t="s">
        <v>692</v>
      </c>
    </row>
    <row r="29" customFormat="false" ht="27" hidden="false" customHeight="true" outlineLevel="0" collapsed="false">
      <c r="A29" s="27" t="s">
        <v>542</v>
      </c>
      <c r="B29" s="27" t="s">
        <v>693</v>
      </c>
      <c r="C29" s="27" t="s">
        <v>26</v>
      </c>
      <c r="D29" s="27" t="s">
        <v>100</v>
      </c>
      <c r="E29" s="27" t="s">
        <v>683</v>
      </c>
      <c r="F29" s="27" t="s">
        <v>292</v>
      </c>
      <c r="G29" s="43" t="n">
        <v>5</v>
      </c>
      <c r="H29" s="27" t="s">
        <v>533</v>
      </c>
      <c r="I29" s="69" t="s">
        <v>640</v>
      </c>
      <c r="J29" s="27" t="s">
        <v>694</v>
      </c>
    </row>
    <row r="30" customFormat="false" ht="27" hidden="false" customHeight="true" outlineLevel="0" collapsed="false">
      <c r="A30" s="58" t="s">
        <v>587</v>
      </c>
      <c r="B30" s="58" t="s">
        <v>695</v>
      </c>
      <c r="C30" s="58" t="s">
        <v>643</v>
      </c>
      <c r="D30" s="58" t="s">
        <v>100</v>
      </c>
      <c r="E30" s="58" t="s">
        <v>625</v>
      </c>
      <c r="F30" s="58" t="s">
        <v>631</v>
      </c>
      <c r="G30" s="43" t="n">
        <v>5</v>
      </c>
      <c r="H30" s="58" t="s">
        <v>533</v>
      </c>
      <c r="I30" s="69" t="s">
        <v>640</v>
      </c>
      <c r="J30" s="58" t="s">
        <v>696</v>
      </c>
    </row>
    <row r="31" customFormat="false" ht="27" hidden="false" customHeight="true" outlineLevel="0" collapsed="false">
      <c r="A31" s="27" t="s">
        <v>452</v>
      </c>
      <c r="B31" s="27" t="s">
        <v>697</v>
      </c>
      <c r="C31" s="27" t="s">
        <v>336</v>
      </c>
      <c r="D31" s="27" t="s">
        <v>100</v>
      </c>
      <c r="E31" s="27" t="s">
        <v>625</v>
      </c>
      <c r="F31" s="27" t="s">
        <v>631</v>
      </c>
      <c r="G31" s="43" t="n">
        <v>8</v>
      </c>
      <c r="H31" s="27" t="s">
        <v>376</v>
      </c>
      <c r="I31" s="69" t="s">
        <v>626</v>
      </c>
      <c r="J31" s="27" t="s">
        <v>698</v>
      </c>
    </row>
    <row r="32" customFormat="false" ht="27" hidden="false" customHeight="true" outlineLevel="0" collapsed="false">
      <c r="A32" s="58" t="s">
        <v>699</v>
      </c>
      <c r="B32" s="58" t="s">
        <v>700</v>
      </c>
      <c r="C32" s="58" t="s">
        <v>35</v>
      </c>
      <c r="D32" s="58" t="s">
        <v>100</v>
      </c>
      <c r="E32" s="58" t="s">
        <v>625</v>
      </c>
      <c r="F32" s="58" t="s">
        <v>639</v>
      </c>
      <c r="G32" s="43" t="n">
        <v>8</v>
      </c>
      <c r="H32" s="58" t="s">
        <v>569</v>
      </c>
      <c r="I32" s="69" t="s">
        <v>626</v>
      </c>
      <c r="J32" s="58" t="s">
        <v>701</v>
      </c>
    </row>
    <row r="33" customFormat="false" ht="27" hidden="false" customHeight="true" outlineLevel="0" collapsed="false">
      <c r="A33" s="27" t="s">
        <v>578</v>
      </c>
      <c r="B33" s="27" t="s">
        <v>702</v>
      </c>
      <c r="C33" s="27" t="s">
        <v>35</v>
      </c>
      <c r="D33" s="27" t="s">
        <v>100</v>
      </c>
      <c r="E33" s="27" t="s">
        <v>625</v>
      </c>
      <c r="F33" s="27" t="s">
        <v>631</v>
      </c>
      <c r="G33" s="43" t="n">
        <v>6</v>
      </c>
      <c r="H33" s="27" t="s">
        <v>569</v>
      </c>
      <c r="I33" s="69" t="s">
        <v>640</v>
      </c>
      <c r="J33" s="27" t="s">
        <v>703</v>
      </c>
    </row>
    <row r="34" customFormat="false" ht="27" hidden="false" customHeight="true" outlineLevel="0" collapsed="false">
      <c r="A34" s="58" t="s">
        <v>704</v>
      </c>
      <c r="B34" s="58" t="s">
        <v>705</v>
      </c>
      <c r="C34" s="58" t="s">
        <v>706</v>
      </c>
      <c r="D34" s="58" t="s">
        <v>100</v>
      </c>
      <c r="E34" s="58" t="s">
        <v>625</v>
      </c>
      <c r="F34" s="58" t="s">
        <v>292</v>
      </c>
      <c r="G34" s="43" t="n">
        <v>6</v>
      </c>
      <c r="H34" s="58" t="s">
        <v>452</v>
      </c>
      <c r="I34" s="69" t="s">
        <v>640</v>
      </c>
      <c r="J34" s="58" t="s">
        <v>707</v>
      </c>
    </row>
    <row r="35" customFormat="false" ht="27" hidden="false" customHeight="true" outlineLevel="0" collapsed="false">
      <c r="A35" s="27" t="s">
        <v>708</v>
      </c>
      <c r="B35" s="27" t="s">
        <v>709</v>
      </c>
      <c r="C35" s="27" t="s">
        <v>706</v>
      </c>
      <c r="D35" s="27" t="s">
        <v>100</v>
      </c>
      <c r="E35" s="27" t="s">
        <v>625</v>
      </c>
      <c r="F35" s="27" t="s">
        <v>292</v>
      </c>
      <c r="G35" s="43" t="n">
        <v>6</v>
      </c>
      <c r="H35" s="27" t="s">
        <v>704</v>
      </c>
      <c r="I35" s="69" t="s">
        <v>640</v>
      </c>
      <c r="J35" s="27" t="s">
        <v>710</v>
      </c>
    </row>
    <row r="36" customFormat="false" ht="27" hidden="false" customHeight="true" outlineLevel="0" collapsed="false">
      <c r="A36" s="58" t="s">
        <v>711</v>
      </c>
      <c r="B36" s="58" t="s">
        <v>712</v>
      </c>
      <c r="C36" s="58" t="s">
        <v>706</v>
      </c>
      <c r="D36" s="58" t="s">
        <v>100</v>
      </c>
      <c r="E36" s="58" t="s">
        <v>625</v>
      </c>
      <c r="F36" s="58" t="s">
        <v>292</v>
      </c>
      <c r="G36" s="43" t="n">
        <v>3</v>
      </c>
      <c r="H36" s="58" t="s">
        <v>708</v>
      </c>
      <c r="I36" s="69" t="s">
        <v>640</v>
      </c>
      <c r="J36" s="58" t="s">
        <v>713</v>
      </c>
    </row>
    <row r="37" customFormat="false" ht="27" hidden="false" customHeight="true" outlineLevel="0" collapsed="false">
      <c r="A37" s="27" t="s">
        <v>714</v>
      </c>
      <c r="B37" s="27" t="s">
        <v>715</v>
      </c>
      <c r="C37" s="27" t="s">
        <v>716</v>
      </c>
      <c r="D37" s="27" t="s">
        <v>100</v>
      </c>
      <c r="E37" s="27" t="s">
        <v>683</v>
      </c>
      <c r="F37" s="27" t="s">
        <v>292</v>
      </c>
      <c r="G37" s="43" t="n">
        <v>6</v>
      </c>
      <c r="H37" s="27" t="s">
        <v>376</v>
      </c>
      <c r="I37" s="69" t="s">
        <v>640</v>
      </c>
      <c r="J37" s="27" t="s">
        <v>717</v>
      </c>
    </row>
    <row r="38" customFormat="false" ht="27" hidden="false" customHeight="true" outlineLevel="0" collapsed="false">
      <c r="A38" s="58" t="s">
        <v>718</v>
      </c>
      <c r="B38" s="58" t="s">
        <v>719</v>
      </c>
      <c r="C38" s="58" t="s">
        <v>336</v>
      </c>
      <c r="D38" s="58" t="s">
        <v>100</v>
      </c>
      <c r="E38" s="58" t="s">
        <v>683</v>
      </c>
      <c r="F38" s="58" t="s">
        <v>292</v>
      </c>
      <c r="G38" s="43" t="n">
        <v>5</v>
      </c>
      <c r="H38" s="58" t="s">
        <v>714</v>
      </c>
      <c r="I38" s="69" t="s">
        <v>640</v>
      </c>
      <c r="J38" s="58" t="s">
        <v>720</v>
      </c>
    </row>
    <row r="39" customFormat="false" ht="27" hidden="false" customHeight="true" outlineLevel="0" collapsed="false">
      <c r="A39" s="27" t="s">
        <v>444</v>
      </c>
      <c r="B39" s="27" t="s">
        <v>721</v>
      </c>
      <c r="C39" s="27" t="s">
        <v>663</v>
      </c>
      <c r="D39" s="27" t="s">
        <v>100</v>
      </c>
      <c r="E39" s="27" t="s">
        <v>625</v>
      </c>
      <c r="F39" s="27" t="s">
        <v>631</v>
      </c>
      <c r="G39" s="43" t="n">
        <v>5</v>
      </c>
      <c r="H39" s="27" t="s">
        <v>408</v>
      </c>
      <c r="I39" s="69" t="s">
        <v>626</v>
      </c>
      <c r="J39" s="27" t="s">
        <v>722</v>
      </c>
    </row>
    <row r="40" customFormat="false" ht="27" hidden="false" customHeight="true" outlineLevel="0" collapsed="false">
      <c r="A40" s="58" t="s">
        <v>448</v>
      </c>
      <c r="B40" s="58" t="s">
        <v>445</v>
      </c>
      <c r="C40" s="58" t="s">
        <v>336</v>
      </c>
      <c r="D40" s="58" t="s">
        <v>100</v>
      </c>
      <c r="E40" s="58" t="s">
        <v>625</v>
      </c>
      <c r="F40" s="58" t="s">
        <v>292</v>
      </c>
      <c r="G40" s="43" t="n">
        <v>4</v>
      </c>
      <c r="H40" s="58" t="s">
        <v>376</v>
      </c>
      <c r="I40" s="69" t="s">
        <v>640</v>
      </c>
      <c r="J40" s="58" t="s">
        <v>723</v>
      </c>
    </row>
    <row r="41" customFormat="false" ht="27" hidden="false" customHeight="true" outlineLevel="0" collapsed="false">
      <c r="A41" s="27" t="s">
        <v>456</v>
      </c>
      <c r="B41" s="27" t="s">
        <v>724</v>
      </c>
      <c r="C41" s="27" t="s">
        <v>336</v>
      </c>
      <c r="D41" s="27" t="s">
        <v>100</v>
      </c>
      <c r="E41" s="27" t="s">
        <v>625</v>
      </c>
      <c r="F41" s="27" t="s">
        <v>631</v>
      </c>
      <c r="G41" s="43" t="n">
        <v>6</v>
      </c>
      <c r="H41" s="27" t="s">
        <v>452</v>
      </c>
      <c r="I41" s="69" t="s">
        <v>640</v>
      </c>
      <c r="J41" s="27" t="s">
        <v>725</v>
      </c>
    </row>
    <row r="42" customFormat="false" ht="27" hidden="false" customHeight="true" outlineLevel="0" collapsed="false">
      <c r="A42" s="58" t="s">
        <v>726</v>
      </c>
      <c r="B42" s="58" t="s">
        <v>727</v>
      </c>
      <c r="C42" s="58" t="s">
        <v>336</v>
      </c>
      <c r="D42" s="58" t="s">
        <v>100</v>
      </c>
      <c r="E42" s="58" t="s">
        <v>683</v>
      </c>
      <c r="F42" s="58" t="s">
        <v>292</v>
      </c>
      <c r="G42" s="43" t="n">
        <v>2</v>
      </c>
      <c r="H42" s="58" t="s">
        <v>718</v>
      </c>
      <c r="I42" s="69" t="s">
        <v>640</v>
      </c>
      <c r="J42" s="58" t="s">
        <v>728</v>
      </c>
    </row>
    <row r="43" customFormat="false" ht="27" hidden="false" customHeight="true" outlineLevel="0" collapsed="false">
      <c r="A43" s="27" t="s">
        <v>729</v>
      </c>
      <c r="B43" s="27" t="s">
        <v>730</v>
      </c>
      <c r="C43" s="27" t="s">
        <v>731</v>
      </c>
      <c r="D43" s="27" t="s">
        <v>100</v>
      </c>
      <c r="E43" s="27" t="s">
        <v>625</v>
      </c>
      <c r="F43" s="27" t="s">
        <v>731</v>
      </c>
      <c r="G43" s="43" t="n">
        <v>10</v>
      </c>
      <c r="H43" s="27" t="s">
        <v>395</v>
      </c>
      <c r="I43" s="69" t="s">
        <v>640</v>
      </c>
      <c r="J43" s="27" t="s">
        <v>732</v>
      </c>
    </row>
    <row r="44" customFormat="false" ht="27" hidden="false" customHeight="true" outlineLevel="0" collapsed="false">
      <c r="A44" s="58" t="s">
        <v>733</v>
      </c>
      <c r="B44" s="58" t="s">
        <v>734</v>
      </c>
      <c r="C44" s="58" t="s">
        <v>630</v>
      </c>
      <c r="D44" s="58" t="s">
        <v>100</v>
      </c>
      <c r="E44" s="58" t="s">
        <v>625</v>
      </c>
      <c r="F44" s="58" t="s">
        <v>631</v>
      </c>
      <c r="G44" s="43" t="n">
        <v>5</v>
      </c>
      <c r="H44" s="58" t="s">
        <v>395</v>
      </c>
      <c r="I44" s="69" t="s">
        <v>640</v>
      </c>
      <c r="J44" s="58" t="s">
        <v>735</v>
      </c>
    </row>
    <row r="45" customFormat="false" ht="27" hidden="false" customHeight="true" outlineLevel="0" collapsed="false">
      <c r="A45" s="27" t="s">
        <v>736</v>
      </c>
      <c r="B45" s="27" t="s">
        <v>737</v>
      </c>
      <c r="C45" s="27" t="s">
        <v>667</v>
      </c>
      <c r="D45" s="27" t="s">
        <v>100</v>
      </c>
      <c r="E45" s="27" t="s">
        <v>625</v>
      </c>
      <c r="F45" s="27" t="s">
        <v>631</v>
      </c>
      <c r="G45" s="43" t="n">
        <v>4</v>
      </c>
      <c r="H45" s="27" t="s">
        <v>665</v>
      </c>
      <c r="I45" s="69" t="s">
        <v>640</v>
      </c>
      <c r="J45" s="27" t="s">
        <v>738</v>
      </c>
    </row>
    <row r="46" customFormat="false" ht="27" hidden="false" customHeight="true" outlineLevel="0" collapsed="false">
      <c r="A46" s="58" t="s">
        <v>739</v>
      </c>
      <c r="B46" s="58" t="s">
        <v>740</v>
      </c>
      <c r="C46" s="58" t="s">
        <v>502</v>
      </c>
      <c r="D46" s="58" t="s">
        <v>100</v>
      </c>
      <c r="E46" s="58" t="s">
        <v>625</v>
      </c>
      <c r="F46" s="58" t="s">
        <v>292</v>
      </c>
      <c r="G46" s="43" t="n">
        <v>5</v>
      </c>
      <c r="H46" s="58" t="s">
        <v>659</v>
      </c>
      <c r="I46" s="69" t="s">
        <v>640</v>
      </c>
      <c r="J46" s="58" t="s">
        <v>741</v>
      </c>
    </row>
    <row r="47" customFormat="false" ht="27" hidden="false" customHeight="true" outlineLevel="0" collapsed="false">
      <c r="A47" s="27" t="s">
        <v>742</v>
      </c>
      <c r="B47" s="27" t="s">
        <v>743</v>
      </c>
      <c r="C47" s="27" t="s">
        <v>716</v>
      </c>
      <c r="D47" s="27" t="s">
        <v>100</v>
      </c>
      <c r="E47" s="27" t="s">
        <v>625</v>
      </c>
      <c r="F47" s="27" t="s">
        <v>292</v>
      </c>
      <c r="G47" s="43" t="n">
        <v>4</v>
      </c>
      <c r="H47" s="27" t="s">
        <v>376</v>
      </c>
      <c r="I47" s="69" t="s">
        <v>640</v>
      </c>
      <c r="J47" s="27" t="s">
        <v>744</v>
      </c>
    </row>
    <row r="48" customFormat="false" ht="27" hidden="false" customHeight="true" outlineLevel="0" collapsed="false">
      <c r="A48" s="58" t="s">
        <v>745</v>
      </c>
      <c r="B48" s="58" t="s">
        <v>746</v>
      </c>
      <c r="C48" s="58" t="s">
        <v>406</v>
      </c>
      <c r="D48" s="58" t="s">
        <v>100</v>
      </c>
      <c r="E48" s="58" t="s">
        <v>625</v>
      </c>
      <c r="F48" s="58" t="s">
        <v>100</v>
      </c>
      <c r="G48" s="43" t="n">
        <v>3</v>
      </c>
      <c r="H48" s="58" t="s">
        <v>708</v>
      </c>
      <c r="I48" s="69" t="s">
        <v>640</v>
      </c>
      <c r="J48" s="58" t="s">
        <v>747</v>
      </c>
    </row>
    <row r="49" customFormat="false" ht="27" hidden="false" customHeight="true" outlineLevel="0" collapsed="false">
      <c r="A49" s="27" t="s">
        <v>748</v>
      </c>
      <c r="B49" s="27" t="s">
        <v>749</v>
      </c>
      <c r="C49" s="27" t="s">
        <v>750</v>
      </c>
      <c r="D49" s="27" t="s">
        <v>100</v>
      </c>
      <c r="E49" s="27" t="s">
        <v>683</v>
      </c>
      <c r="F49" s="27" t="s">
        <v>631</v>
      </c>
      <c r="G49" s="43" t="n">
        <v>2</v>
      </c>
      <c r="H49" s="27" t="s">
        <v>736</v>
      </c>
      <c r="I49" s="69" t="s">
        <v>640</v>
      </c>
      <c r="J49" s="27" t="s">
        <v>751</v>
      </c>
    </row>
    <row r="50" customFormat="false" ht="27" hidden="false" customHeight="true" outlineLevel="0" collapsed="false">
      <c r="A50" s="58" t="s">
        <v>752</v>
      </c>
      <c r="B50" s="58" t="s">
        <v>753</v>
      </c>
      <c r="C50" s="58" t="s">
        <v>754</v>
      </c>
      <c r="D50" s="58" t="s">
        <v>100</v>
      </c>
      <c r="E50" s="58" t="s">
        <v>625</v>
      </c>
      <c r="F50" s="58" t="s">
        <v>100</v>
      </c>
      <c r="G50" s="43" t="n">
        <v>4</v>
      </c>
      <c r="H50" s="58" t="s">
        <v>673</v>
      </c>
      <c r="I50" s="69" t="s">
        <v>640</v>
      </c>
      <c r="J50" s="58" t="s">
        <v>755</v>
      </c>
    </row>
    <row r="51" customFormat="false" ht="27" hidden="false" customHeight="true" outlineLevel="0" collapsed="false">
      <c r="A51" s="27" t="s">
        <v>756</v>
      </c>
      <c r="B51" s="27" t="s">
        <v>757</v>
      </c>
      <c r="C51" s="27" t="s">
        <v>758</v>
      </c>
      <c r="D51" s="27" t="s">
        <v>102</v>
      </c>
      <c r="E51" s="27" t="s">
        <v>625</v>
      </c>
      <c r="F51" s="27" t="s">
        <v>631</v>
      </c>
      <c r="G51" s="43" t="n">
        <v>8</v>
      </c>
      <c r="H51" s="27" t="s">
        <v>687</v>
      </c>
      <c r="I51" s="69" t="s">
        <v>640</v>
      </c>
      <c r="J51" s="27" t="s">
        <v>759</v>
      </c>
    </row>
    <row r="52" customFormat="false" ht="27" hidden="false" customHeight="true" outlineLevel="0" collapsed="false">
      <c r="A52" s="58" t="s">
        <v>760</v>
      </c>
      <c r="B52" s="58" t="s">
        <v>761</v>
      </c>
      <c r="C52" s="58" t="s">
        <v>758</v>
      </c>
      <c r="D52" s="58" t="s">
        <v>102</v>
      </c>
      <c r="E52" s="58" t="s">
        <v>625</v>
      </c>
      <c r="F52" s="58" t="s">
        <v>292</v>
      </c>
      <c r="G52" s="43" t="n">
        <v>5</v>
      </c>
      <c r="H52" s="58" t="s">
        <v>578</v>
      </c>
      <c r="I52" s="69" t="s">
        <v>640</v>
      </c>
      <c r="J52" s="58" t="s">
        <v>762</v>
      </c>
    </row>
    <row r="53" customFormat="false" ht="27" hidden="false" customHeight="true" outlineLevel="0" collapsed="false">
      <c r="A53" s="27" t="s">
        <v>432</v>
      </c>
      <c r="B53" s="27" t="s">
        <v>763</v>
      </c>
      <c r="C53" s="27" t="s">
        <v>758</v>
      </c>
      <c r="D53" s="27" t="s">
        <v>102</v>
      </c>
      <c r="E53" s="27" t="s">
        <v>625</v>
      </c>
      <c r="F53" s="27" t="s">
        <v>292</v>
      </c>
      <c r="G53" s="43" t="n">
        <v>6</v>
      </c>
      <c r="H53" s="27" t="s">
        <v>760</v>
      </c>
      <c r="I53" s="69" t="s">
        <v>640</v>
      </c>
      <c r="J53" s="27" t="s">
        <v>764</v>
      </c>
    </row>
    <row r="54" customFormat="false" ht="27" hidden="false" customHeight="true" outlineLevel="0" collapsed="false">
      <c r="A54" s="58" t="s">
        <v>765</v>
      </c>
      <c r="B54" s="58" t="s">
        <v>766</v>
      </c>
      <c r="C54" s="58" t="s">
        <v>646</v>
      </c>
      <c r="D54" s="58" t="s">
        <v>102</v>
      </c>
      <c r="E54" s="58" t="s">
        <v>683</v>
      </c>
      <c r="F54" s="58" t="s">
        <v>292</v>
      </c>
      <c r="G54" s="43" t="n">
        <v>6</v>
      </c>
      <c r="H54" s="58" t="s">
        <v>687</v>
      </c>
      <c r="I54" s="69" t="s">
        <v>640</v>
      </c>
      <c r="J54" s="58" t="s">
        <v>767</v>
      </c>
    </row>
    <row r="55" customFormat="false" ht="27" hidden="false" customHeight="true" outlineLevel="0" collapsed="false">
      <c r="A55" s="27" t="s">
        <v>768</v>
      </c>
      <c r="B55" s="27" t="s">
        <v>769</v>
      </c>
      <c r="C55" s="27" t="s">
        <v>336</v>
      </c>
      <c r="D55" s="27" t="s">
        <v>102</v>
      </c>
      <c r="E55" s="27" t="s">
        <v>770</v>
      </c>
      <c r="F55" s="27" t="s">
        <v>292</v>
      </c>
      <c r="G55" s="43" t="n">
        <v>4</v>
      </c>
      <c r="H55" s="27" t="s">
        <v>711</v>
      </c>
      <c r="I55" s="69" t="s">
        <v>640</v>
      </c>
      <c r="J55" s="27" t="s">
        <v>771</v>
      </c>
    </row>
    <row r="56" customFormat="false" ht="27" hidden="false" customHeight="true" outlineLevel="0" collapsed="false">
      <c r="A56" s="58" t="s">
        <v>772</v>
      </c>
      <c r="B56" s="58" t="s">
        <v>773</v>
      </c>
      <c r="C56" s="58" t="s">
        <v>26</v>
      </c>
      <c r="D56" s="58" t="s">
        <v>102</v>
      </c>
      <c r="E56" s="58" t="s">
        <v>770</v>
      </c>
      <c r="F56" s="58" t="s">
        <v>292</v>
      </c>
      <c r="G56" s="43" t="n">
        <v>4</v>
      </c>
      <c r="H56" s="58" t="s">
        <v>533</v>
      </c>
      <c r="I56" s="69" t="s">
        <v>640</v>
      </c>
      <c r="J56" s="58" t="s">
        <v>774</v>
      </c>
    </row>
    <row r="57" customFormat="false" ht="27" hidden="false" customHeight="true" outlineLevel="0" collapsed="false">
      <c r="A57" s="27" t="s">
        <v>775</v>
      </c>
      <c r="B57" s="27" t="s">
        <v>776</v>
      </c>
      <c r="C57" s="27" t="s">
        <v>716</v>
      </c>
      <c r="D57" s="27" t="s">
        <v>102</v>
      </c>
      <c r="E57" s="27" t="s">
        <v>625</v>
      </c>
      <c r="F57" s="27" t="s">
        <v>631</v>
      </c>
      <c r="G57" s="43" t="n">
        <v>8</v>
      </c>
      <c r="H57" s="27" t="s">
        <v>756</v>
      </c>
      <c r="I57" s="69" t="s">
        <v>640</v>
      </c>
      <c r="J57" s="27" t="s">
        <v>777</v>
      </c>
    </row>
    <row r="58" customFormat="false" ht="27" hidden="false" customHeight="true" outlineLevel="0" collapsed="false">
      <c r="A58" s="58" t="s">
        <v>778</v>
      </c>
      <c r="B58" s="58" t="s">
        <v>779</v>
      </c>
      <c r="C58" s="58" t="s">
        <v>502</v>
      </c>
      <c r="D58" s="58" t="s">
        <v>102</v>
      </c>
      <c r="E58" s="58" t="s">
        <v>683</v>
      </c>
      <c r="F58" s="58" t="s">
        <v>631</v>
      </c>
      <c r="G58" s="43" t="n">
        <v>4</v>
      </c>
      <c r="H58" s="58" t="s">
        <v>659</v>
      </c>
      <c r="I58" s="69" t="s">
        <v>640</v>
      </c>
      <c r="J58" s="58" t="s">
        <v>780</v>
      </c>
    </row>
    <row r="59" customFormat="false" ht="27" hidden="false" customHeight="true" outlineLevel="0" collapsed="false">
      <c r="A59" s="27" t="s">
        <v>781</v>
      </c>
      <c r="B59" s="27" t="s">
        <v>782</v>
      </c>
      <c r="C59" s="27" t="s">
        <v>643</v>
      </c>
      <c r="D59" s="27" t="s">
        <v>102</v>
      </c>
      <c r="E59" s="27" t="s">
        <v>625</v>
      </c>
      <c r="F59" s="27" t="s">
        <v>292</v>
      </c>
      <c r="G59" s="43" t="n">
        <v>5</v>
      </c>
      <c r="H59" s="27" t="s">
        <v>673</v>
      </c>
      <c r="I59" s="69" t="s">
        <v>640</v>
      </c>
      <c r="J59" s="27" t="s">
        <v>783</v>
      </c>
    </row>
    <row r="60" customFormat="false" ht="27" hidden="false" customHeight="true" outlineLevel="0" collapsed="false">
      <c r="A60" s="58" t="s">
        <v>784</v>
      </c>
      <c r="B60" s="58" t="s">
        <v>785</v>
      </c>
      <c r="C60" s="58" t="s">
        <v>786</v>
      </c>
      <c r="D60" s="58" t="s">
        <v>102</v>
      </c>
      <c r="E60" s="58" t="s">
        <v>625</v>
      </c>
      <c r="F60" s="58" t="s">
        <v>786</v>
      </c>
      <c r="G60" s="43" t="n">
        <v>4</v>
      </c>
      <c r="H60" s="58" t="s">
        <v>775</v>
      </c>
      <c r="I60" s="69" t="s">
        <v>640</v>
      </c>
      <c r="J60" s="58" t="s">
        <v>787</v>
      </c>
    </row>
    <row r="61" customFormat="false" ht="27" hidden="false" customHeight="true" outlineLevel="0" collapsed="false">
      <c r="A61" s="27" t="s">
        <v>788</v>
      </c>
      <c r="B61" s="27" t="s">
        <v>789</v>
      </c>
      <c r="C61" s="27" t="s">
        <v>716</v>
      </c>
      <c r="D61" s="27" t="s">
        <v>104</v>
      </c>
      <c r="E61" s="27" t="s">
        <v>625</v>
      </c>
      <c r="F61" s="27" t="s">
        <v>292</v>
      </c>
      <c r="G61" s="43" t="n">
        <v>3</v>
      </c>
      <c r="H61" s="27" t="s">
        <v>775</v>
      </c>
      <c r="I61" s="69" t="s">
        <v>640</v>
      </c>
      <c r="J61" s="27" t="s">
        <v>790</v>
      </c>
    </row>
    <row r="62" customFormat="false" ht="27" hidden="false" customHeight="true" outlineLevel="0" collapsed="false">
      <c r="A62" s="58" t="s">
        <v>791</v>
      </c>
      <c r="B62" s="58" t="s">
        <v>792</v>
      </c>
      <c r="C62" s="58" t="s">
        <v>502</v>
      </c>
      <c r="D62" s="58" t="s">
        <v>104</v>
      </c>
      <c r="E62" s="58" t="s">
        <v>625</v>
      </c>
      <c r="F62" s="58" t="s">
        <v>631</v>
      </c>
      <c r="G62" s="43" t="n">
        <v>5</v>
      </c>
      <c r="H62" s="58" t="s">
        <v>659</v>
      </c>
      <c r="I62" s="69" t="s">
        <v>640</v>
      </c>
      <c r="J62" s="58" t="s">
        <v>793</v>
      </c>
    </row>
    <row r="63" customFormat="false" ht="27" hidden="false" customHeight="true" outlineLevel="0" collapsed="false">
      <c r="A63" s="27" t="s">
        <v>794</v>
      </c>
      <c r="B63" s="27" t="s">
        <v>795</v>
      </c>
      <c r="C63" s="27" t="s">
        <v>796</v>
      </c>
      <c r="D63" s="27" t="s">
        <v>104</v>
      </c>
      <c r="E63" s="27" t="s">
        <v>625</v>
      </c>
      <c r="F63" s="27" t="s">
        <v>292</v>
      </c>
      <c r="G63" s="43" t="n">
        <v>6</v>
      </c>
      <c r="H63" s="27" t="s">
        <v>775</v>
      </c>
      <c r="I63" s="69" t="s">
        <v>626</v>
      </c>
      <c r="J63" s="27" t="s">
        <v>797</v>
      </c>
    </row>
    <row r="64" customFormat="false" ht="27" hidden="false" customHeight="true" outlineLevel="0" collapsed="false">
      <c r="A64" s="58" t="s">
        <v>798</v>
      </c>
      <c r="B64" s="58" t="s">
        <v>799</v>
      </c>
      <c r="C64" s="58" t="s">
        <v>750</v>
      </c>
      <c r="D64" s="58" t="s">
        <v>104</v>
      </c>
      <c r="E64" s="58" t="s">
        <v>625</v>
      </c>
      <c r="F64" s="58" t="s">
        <v>292</v>
      </c>
      <c r="G64" s="43" t="n">
        <v>3</v>
      </c>
      <c r="H64" s="58" t="s">
        <v>788</v>
      </c>
      <c r="I64" s="69" t="s">
        <v>640</v>
      </c>
      <c r="J64" s="58" t="s">
        <v>800</v>
      </c>
    </row>
    <row r="65" customFormat="false" ht="27" hidden="false" customHeight="true" outlineLevel="0" collapsed="false">
      <c r="A65" s="27" t="s">
        <v>801</v>
      </c>
      <c r="B65" s="27" t="s">
        <v>802</v>
      </c>
      <c r="C65" s="27" t="s">
        <v>630</v>
      </c>
      <c r="D65" s="27" t="s">
        <v>104</v>
      </c>
      <c r="E65" s="27" t="s">
        <v>625</v>
      </c>
      <c r="F65" s="27" t="s">
        <v>631</v>
      </c>
      <c r="G65" s="43" t="n">
        <v>4</v>
      </c>
      <c r="H65" s="27" t="s">
        <v>775</v>
      </c>
      <c r="I65" s="69" t="s">
        <v>640</v>
      </c>
      <c r="J65" s="27" t="s">
        <v>803</v>
      </c>
    </row>
    <row r="66" customFormat="false" ht="27" hidden="false" customHeight="true" outlineLevel="0" collapsed="false">
      <c r="A66" s="58" t="s">
        <v>804</v>
      </c>
      <c r="B66" s="58" t="s">
        <v>805</v>
      </c>
      <c r="C66" s="58" t="s">
        <v>682</v>
      </c>
      <c r="D66" s="58" t="s">
        <v>104</v>
      </c>
      <c r="E66" s="58" t="s">
        <v>683</v>
      </c>
      <c r="F66" s="58" t="s">
        <v>631</v>
      </c>
      <c r="G66" s="43" t="n">
        <v>4</v>
      </c>
      <c r="H66" s="58" t="s">
        <v>733</v>
      </c>
      <c r="I66" s="69" t="s">
        <v>640</v>
      </c>
      <c r="J66" s="58" t="s">
        <v>806</v>
      </c>
    </row>
    <row r="67" customFormat="false" ht="27" hidden="false" customHeight="true" outlineLevel="0" collapsed="false">
      <c r="A67" s="27" t="s">
        <v>807</v>
      </c>
      <c r="B67" s="27" t="s">
        <v>808</v>
      </c>
      <c r="C67" s="27" t="s">
        <v>682</v>
      </c>
      <c r="D67" s="27" t="s">
        <v>106</v>
      </c>
      <c r="E67" s="27" t="s">
        <v>625</v>
      </c>
      <c r="F67" s="27" t="s">
        <v>100</v>
      </c>
      <c r="G67" s="43" t="n">
        <v>5</v>
      </c>
      <c r="H67" s="27" t="s">
        <v>788</v>
      </c>
      <c r="I67" s="69" t="s">
        <v>640</v>
      </c>
      <c r="J67" s="27" t="s">
        <v>809</v>
      </c>
    </row>
    <row r="68" customFormat="false" ht="27" hidden="false" customHeight="true" outlineLevel="0" collapsed="false">
      <c r="A68" s="58" t="s">
        <v>810</v>
      </c>
      <c r="B68" s="58" t="s">
        <v>811</v>
      </c>
      <c r="C68" s="58" t="s">
        <v>682</v>
      </c>
      <c r="D68" s="58" t="s">
        <v>106</v>
      </c>
      <c r="E68" s="58" t="s">
        <v>625</v>
      </c>
      <c r="F68" s="58" t="s">
        <v>100</v>
      </c>
      <c r="G68" s="43" t="n">
        <v>1</v>
      </c>
      <c r="H68" s="58" t="s">
        <v>807</v>
      </c>
      <c r="I68" s="69" t="s">
        <v>640</v>
      </c>
      <c r="J68" s="58" t="s">
        <v>812</v>
      </c>
    </row>
    <row r="69" customFormat="false" ht="27" hidden="false" customHeight="true" outlineLevel="0" collapsed="false">
      <c r="A69" s="27" t="s">
        <v>813</v>
      </c>
      <c r="B69" s="27" t="s">
        <v>814</v>
      </c>
      <c r="C69" s="27" t="s">
        <v>682</v>
      </c>
      <c r="D69" s="27" t="s">
        <v>106</v>
      </c>
      <c r="E69" s="27" t="s">
        <v>625</v>
      </c>
      <c r="F69" s="27" t="s">
        <v>631</v>
      </c>
      <c r="G69" s="43" t="n">
        <v>3</v>
      </c>
      <c r="H69" s="27" t="s">
        <v>801</v>
      </c>
      <c r="I69" s="69" t="s">
        <v>640</v>
      </c>
      <c r="J69" s="27" t="s">
        <v>815</v>
      </c>
    </row>
    <row r="70" customFormat="false" ht="15" hidden="false" customHeight="true" outlineLevel="0" collapsed="false">
      <c r="A70" s="58"/>
      <c r="B70" s="58"/>
      <c r="C70" s="58"/>
      <c r="D70" s="58"/>
      <c r="E70" s="58"/>
      <c r="F70" s="58"/>
      <c r="G70" s="43"/>
      <c r="H70" s="58"/>
      <c r="I70" s="69"/>
      <c r="J70" s="58"/>
    </row>
    <row r="71" customFormat="false" ht="15" hidden="false" customHeight="true" outlineLevel="0" collapsed="false">
      <c r="A71" s="27"/>
      <c r="B71" s="27"/>
      <c r="C71" s="27"/>
      <c r="D71" s="27"/>
      <c r="E71" s="27"/>
      <c r="F71" s="27"/>
      <c r="G71" s="43"/>
      <c r="H71" s="27"/>
      <c r="I71" s="69"/>
      <c r="J71" s="27"/>
    </row>
    <row r="72" customFormat="false" ht="15" hidden="false" customHeight="true" outlineLevel="0" collapsed="false">
      <c r="A72" s="58"/>
      <c r="B72" s="58"/>
      <c r="C72" s="58"/>
      <c r="D72" s="58"/>
      <c r="E72" s="58"/>
      <c r="F72" s="58"/>
      <c r="G72" s="43"/>
      <c r="H72" s="58"/>
      <c r="I72" s="69"/>
      <c r="J72" s="58"/>
    </row>
    <row r="73" customFormat="false" ht="15" hidden="false" customHeight="true" outlineLevel="0" collapsed="false">
      <c r="A73" s="27"/>
      <c r="B73" s="27"/>
      <c r="C73" s="27"/>
      <c r="D73" s="27"/>
      <c r="E73" s="27"/>
      <c r="F73" s="27"/>
      <c r="G73" s="43"/>
      <c r="H73" s="27"/>
      <c r="I73" s="69"/>
      <c r="J73" s="27"/>
    </row>
    <row r="74" customFormat="false" ht="15" hidden="false" customHeight="true" outlineLevel="0" collapsed="false">
      <c r="A74" s="58"/>
      <c r="B74" s="58"/>
      <c r="C74" s="58"/>
      <c r="D74" s="58"/>
      <c r="E74" s="58"/>
      <c r="F74" s="58"/>
      <c r="G74" s="43"/>
      <c r="H74" s="58"/>
      <c r="I74" s="69"/>
      <c r="J74" s="58"/>
    </row>
    <row r="75" customFormat="false" ht="15" hidden="false" customHeight="true" outlineLevel="0" collapsed="false">
      <c r="A75" s="27"/>
      <c r="B75" s="27"/>
      <c r="C75" s="27"/>
      <c r="D75" s="27"/>
      <c r="E75" s="27"/>
      <c r="F75" s="27"/>
      <c r="G75" s="43"/>
      <c r="H75" s="27"/>
      <c r="I75" s="69"/>
      <c r="J75" s="27"/>
    </row>
    <row r="76" customFormat="false" ht="15" hidden="false" customHeight="true" outlineLevel="0" collapsed="false">
      <c r="A76" s="58"/>
      <c r="B76" s="58"/>
      <c r="C76" s="58"/>
      <c r="D76" s="58"/>
      <c r="E76" s="58"/>
      <c r="F76" s="58"/>
      <c r="G76" s="43"/>
      <c r="H76" s="58"/>
      <c r="I76" s="69"/>
      <c r="J76" s="58"/>
    </row>
    <row r="77" customFormat="false" ht="15" hidden="false" customHeight="true" outlineLevel="0" collapsed="false">
      <c r="A77" s="27"/>
      <c r="B77" s="27"/>
      <c r="C77" s="27"/>
      <c r="D77" s="27"/>
      <c r="E77" s="27"/>
      <c r="F77" s="27"/>
      <c r="G77" s="43"/>
      <c r="H77" s="27"/>
      <c r="I77" s="69"/>
      <c r="J77" s="27"/>
    </row>
    <row r="78" customFormat="false" ht="15" hidden="false" customHeight="true" outlineLevel="0" collapsed="false">
      <c r="A78" s="58"/>
      <c r="B78" s="58"/>
      <c r="C78" s="58"/>
      <c r="D78" s="58"/>
      <c r="E78" s="58"/>
      <c r="F78" s="58"/>
      <c r="G78" s="43"/>
      <c r="H78" s="58"/>
      <c r="I78" s="69"/>
      <c r="J78" s="58"/>
    </row>
    <row r="79" customFormat="false" ht="15" hidden="false" customHeight="true" outlineLevel="0" collapsed="false">
      <c r="A79" s="27"/>
      <c r="B79" s="27"/>
      <c r="C79" s="27"/>
      <c r="D79" s="27"/>
      <c r="E79" s="27"/>
      <c r="F79" s="27"/>
      <c r="G79" s="43"/>
      <c r="H79" s="27"/>
      <c r="I79" s="69"/>
      <c r="J79" s="27"/>
    </row>
    <row r="80" customFormat="false" ht="15" hidden="false" customHeight="true" outlineLevel="0" collapsed="false">
      <c r="A80" s="58"/>
      <c r="B80" s="58"/>
      <c r="C80" s="58"/>
      <c r="D80" s="58"/>
      <c r="E80" s="58"/>
      <c r="F80" s="58"/>
      <c r="G80" s="43"/>
      <c r="H80" s="58"/>
      <c r="I80" s="69"/>
      <c r="J80" s="58"/>
    </row>
    <row r="82" customFormat="false" ht="15" hidden="false" customHeight="true" outlineLevel="0" collapsed="false">
      <c r="D82" s="72" t="s">
        <v>816</v>
      </c>
      <c r="E82" s="72"/>
      <c r="F82" s="72"/>
      <c r="G82" s="21" t="n">
        <f aca="false">SUM(G$5:G$80)</f>
        <v>351</v>
      </c>
    </row>
    <row r="83" customFormat="false" ht="15" hidden="false" customHeight="true" outlineLevel="0" collapsed="false">
      <c r="D83" s="73" t="s">
        <v>817</v>
      </c>
      <c r="E83" s="73"/>
      <c r="F83" s="73"/>
      <c r="G83" s="32" t="n">
        <f aca="false">SUMIF(E$5:E$80,"Must",G$5:G$80)</f>
        <v>306</v>
      </c>
    </row>
    <row r="84" customFormat="false" ht="15" hidden="false" customHeight="true" outlineLevel="0" collapsed="false">
      <c r="D84" s="73" t="s">
        <v>818</v>
      </c>
      <c r="E84" s="73"/>
      <c r="F84" s="73"/>
      <c r="G84" s="32" t="n">
        <f aca="false">SUMIF(E$5:E$80,"Should",G$5:G$80)+SUMIF(E$5:E$80,"Could",G$5:G$80)</f>
        <v>45</v>
      </c>
    </row>
    <row r="85" customFormat="false" ht="15" hidden="false" customHeight="true" outlineLevel="0" collapsed="false">
      <c r="D85" s="73" t="s">
        <v>819</v>
      </c>
      <c r="E85" s="73"/>
      <c r="F85" s="73"/>
      <c r="G85" s="32" t="n">
        <f aca="false">SUMIF(I$5:I$80,"Done",G$5:G$80)</f>
        <v>8</v>
      </c>
    </row>
    <row r="86" customFormat="false" ht="15" hidden="false" customHeight="true" outlineLevel="0" collapsed="false">
      <c r="D86" s="73" t="s">
        <v>820</v>
      </c>
      <c r="E86" s="73"/>
      <c r="F86" s="73"/>
      <c r="G86" s="74" t="n">
        <f aca="false">IF(G83=0,0,SUMIFS(G$5:G$80,E$5:E$80,"Must",I$5:I$80,"Done")/G83)</f>
        <v>0.0261437908496732</v>
      </c>
    </row>
    <row r="89" customFormat="false" ht="15" hidden="false" customHeight="true" outlineLevel="0" collapsed="false">
      <c r="A89" s="6" t="s">
        <v>821</v>
      </c>
      <c r="B89" s="6"/>
      <c r="C89" s="6"/>
      <c r="D89" s="6"/>
      <c r="E89" s="6"/>
      <c r="F89" s="6"/>
      <c r="G89" s="6"/>
      <c r="H89" s="6"/>
      <c r="I89" s="6"/>
      <c r="J89" s="6"/>
    </row>
    <row r="90" customFormat="false" ht="15" hidden="false" customHeight="true" outlineLevel="0" collapsed="false">
      <c r="A90" s="9" t="s">
        <v>619</v>
      </c>
      <c r="B90" s="9"/>
      <c r="C90" s="9" t="s">
        <v>822</v>
      </c>
      <c r="D90" s="9" t="s">
        <v>823</v>
      </c>
      <c r="E90" s="9" t="s">
        <v>824</v>
      </c>
      <c r="F90" s="9" t="s">
        <v>825</v>
      </c>
    </row>
    <row r="91" customFormat="false" ht="15" hidden="false" customHeight="true" outlineLevel="0" collapsed="false">
      <c r="A91" s="75" t="s">
        <v>292</v>
      </c>
      <c r="B91" s="75"/>
      <c r="C91" s="32" t="n">
        <f aca="false">SUMIF(F$5:F$80,A91,G$5:G$80)</f>
        <v>166</v>
      </c>
      <c r="D91" s="60" t="n">
        <f aca="false">TeamBudget!I5*5</f>
        <v>200</v>
      </c>
      <c r="E91" s="76" t="n">
        <f aca="false">IF(D91=0,0,C91/D91)</f>
        <v>0.83</v>
      </c>
      <c r="F91" s="32" t="str">
        <f aca="false">IF(E91&gt;0.8,"Over",IF(E91&gt;0.6,"Tight","OK"))</f>
        <v>Over</v>
      </c>
    </row>
    <row r="92" customFormat="false" ht="15" hidden="false" customHeight="true" outlineLevel="0" collapsed="false">
      <c r="A92" s="75" t="s">
        <v>631</v>
      </c>
      <c r="B92" s="75"/>
      <c r="C92" s="32" t="n">
        <f aca="false">SUMIF(F$5:F$80,A92,G$5:G$80)</f>
        <v>137</v>
      </c>
      <c r="D92" s="60" t="n">
        <f aca="false">TeamBudget!I6*5</f>
        <v>220</v>
      </c>
      <c r="E92" s="76" t="n">
        <f aca="false">IF(D92=0,0,C92/D92)</f>
        <v>0.622727272727273</v>
      </c>
      <c r="F92" s="32" t="str">
        <f aca="false">IF(E92&gt;0.8,"Over",IF(E92&gt;0.6,"Tight","OK"))</f>
        <v>Tight</v>
      </c>
    </row>
    <row r="93" customFormat="false" ht="15" hidden="false" customHeight="true" outlineLevel="0" collapsed="false">
      <c r="A93" s="75" t="s">
        <v>639</v>
      </c>
      <c r="B93" s="75"/>
      <c r="C93" s="32" t="n">
        <f aca="false">SUMIF(F$5:F$80,A93,G$5:G$80)</f>
        <v>18</v>
      </c>
      <c r="D93" s="60" t="n">
        <f aca="false">TeamBudget!I7*5</f>
        <v>155</v>
      </c>
      <c r="E93" s="76" t="n">
        <f aca="false">IF(D93=0,0,C93/D93)</f>
        <v>0.116129032258065</v>
      </c>
      <c r="F93" s="32" t="str">
        <f aca="false">IF(E93&gt;0.8,"Over",IF(E93&gt;0.6,"Tight","OK"))</f>
        <v>OK</v>
      </c>
    </row>
    <row r="94" customFormat="false" ht="15" hidden="false" customHeight="true" outlineLevel="0" collapsed="false">
      <c r="A94" s="75" t="s">
        <v>731</v>
      </c>
      <c r="B94" s="75"/>
      <c r="C94" s="32" t="n">
        <f aca="false">SUMIF(F$5:F$80,A94,G$5:G$80)</f>
        <v>10</v>
      </c>
      <c r="D94" s="60" t="n">
        <f aca="false">TeamBudget!I8*5</f>
        <v>60</v>
      </c>
      <c r="E94" s="76" t="n">
        <f aca="false">IF(D94=0,0,C94/D94)</f>
        <v>0.166666666666667</v>
      </c>
      <c r="F94" s="32" t="str">
        <f aca="false">IF(E94&gt;0.8,"Over",IF(E94&gt;0.6,"Tight","OK"))</f>
        <v>OK</v>
      </c>
    </row>
    <row r="95" customFormat="false" ht="15" hidden="false" customHeight="true" outlineLevel="0" collapsed="false">
      <c r="A95" s="75" t="s">
        <v>786</v>
      </c>
      <c r="B95" s="75"/>
      <c r="C95" s="32" t="n">
        <f aca="false">SUMIF(F$5:F$80,A95,G$5:G$80)</f>
        <v>4</v>
      </c>
      <c r="D95" s="60" t="n">
        <f aca="false">TeamBudget!I9*5</f>
        <v>90</v>
      </c>
      <c r="E95" s="76" t="n">
        <f aca="false">IF(D95=0,0,C95/D95)</f>
        <v>0.0444444444444444</v>
      </c>
      <c r="F95" s="32" t="str">
        <f aca="false">IF(E95&gt;0.8,"Over",IF(E95&gt;0.6,"Tight","OK"))</f>
        <v>OK</v>
      </c>
    </row>
    <row r="96" customFormat="false" ht="15" hidden="false" customHeight="true" outlineLevel="0" collapsed="false">
      <c r="A96" s="75" t="s">
        <v>100</v>
      </c>
      <c r="B96" s="75"/>
      <c r="C96" s="32" t="n">
        <f aca="false">SUMIF(F$5:F$80,A96,G$5:G$80)</f>
        <v>16</v>
      </c>
      <c r="D96" s="60" t="n">
        <f aca="false">TeamBudget!I10*5</f>
        <v>160</v>
      </c>
      <c r="E96" s="76" t="n">
        <f aca="false">IF(D96=0,0,C96/D96)</f>
        <v>0.1</v>
      </c>
      <c r="F96" s="32" t="str">
        <f aca="false">IF(E96&gt;0.8,"Over",IF(E96&gt;0.6,"Tight","OK"))</f>
        <v>OK</v>
      </c>
    </row>
    <row r="97" customFormat="false" ht="15" hidden="false" customHeight="true" outlineLevel="0" collapsed="false">
      <c r="A97" s="72" t="s">
        <v>826</v>
      </c>
      <c r="B97" s="72"/>
      <c r="C97" s="21" t="n">
        <f aca="false">SUM(C91:C96)</f>
        <v>351</v>
      </c>
      <c r="D97" s="21" t="n">
        <f aca="false">SUM(D91:D96)</f>
        <v>885</v>
      </c>
      <c r="E97" s="77" t="n">
        <f aca="false">IF(D97=0,0,C97/D97)</f>
        <v>0.396610169491525</v>
      </c>
      <c r="F97" s="21" t="str">
        <f aca="false">IF(E97&gt;0.8,"Over",IF(E97&gt;0.6,"Tight","OK"))</f>
        <v>OK</v>
      </c>
    </row>
    <row r="99" customFormat="false" ht="15" hidden="false" customHeight="true" outlineLevel="0" collapsed="false">
      <c r="A99" s="29" t="s">
        <v>5</v>
      </c>
      <c r="B99" s="29"/>
      <c r="C99" s="9" t="s">
        <v>822</v>
      </c>
      <c r="D99" s="9" t="s">
        <v>827</v>
      </c>
      <c r="E99" s="9" t="s">
        <v>824</v>
      </c>
      <c r="F99" s="9" t="s">
        <v>825</v>
      </c>
    </row>
    <row r="100" customFormat="false" ht="15" hidden="false" customHeight="true" outlineLevel="0" collapsed="false">
      <c r="A100" s="78" t="str">
        <f aca="false">Assumptions!A16</f>
        <v>Preproduction</v>
      </c>
      <c r="B100" s="78"/>
      <c r="C100" s="32" t="n">
        <f aca="false">SUMIF(D$5:D$80,A100,G$5:G$80)</f>
        <v>21</v>
      </c>
      <c r="D100" s="60" t="n">
        <f aca="false">TeamBudget!I15*5</f>
        <v>80</v>
      </c>
      <c r="E100" s="76" t="n">
        <f aca="false">IF(D100=0,0,C100/D100)</f>
        <v>0.2625</v>
      </c>
      <c r="F100" s="32" t="str">
        <f aca="false">IF(E100&gt;0.8,"Over",IF(E100&gt;0.6,"Tight","OK"))</f>
        <v>OK</v>
      </c>
    </row>
    <row r="101" customFormat="false" ht="15" hidden="false" customHeight="true" outlineLevel="0" collapsed="false">
      <c r="A101" s="78" t="str">
        <f aca="false">Assumptions!A17</f>
        <v>Vertical slice</v>
      </c>
      <c r="B101" s="78"/>
      <c r="C101" s="32" t="n">
        <f aca="false">SUMIF(D$5:D$80,A101,G$5:G$80)</f>
        <v>91</v>
      </c>
      <c r="D101" s="60" t="n">
        <f aca="false">TeamBudget!I16*5</f>
        <v>170</v>
      </c>
      <c r="E101" s="76" t="n">
        <f aca="false">IF(D101=0,0,C101/D101)</f>
        <v>0.535294117647059</v>
      </c>
      <c r="F101" s="32" t="str">
        <f aca="false">IF(E101&gt;0.8,"Over",IF(E101&gt;0.6,"Tight","OK"))</f>
        <v>OK</v>
      </c>
    </row>
    <row r="102" customFormat="false" ht="15" hidden="false" customHeight="true" outlineLevel="0" collapsed="false">
      <c r="A102" s="78" t="str">
        <f aca="false">Assumptions!A18</f>
        <v>Production</v>
      </c>
      <c r="B102" s="78"/>
      <c r="C102" s="32" t="n">
        <f aca="false">SUMIF(D$5:D$80,A102,G$5:G$80)</f>
        <v>151</v>
      </c>
      <c r="D102" s="60" t="n">
        <f aca="false">TeamBudget!I17*5</f>
        <v>320</v>
      </c>
      <c r="E102" s="76" t="n">
        <f aca="false">IF(D102=0,0,C102/D102)</f>
        <v>0.471875</v>
      </c>
      <c r="F102" s="32" t="str">
        <f aca="false">IF(E102&gt;0.8,"Over",IF(E102&gt;0.6,"Tight","OK"))</f>
        <v>OK</v>
      </c>
    </row>
    <row r="103" customFormat="false" ht="15" hidden="false" customHeight="true" outlineLevel="0" collapsed="false">
      <c r="A103" s="78" t="str">
        <f aca="false">Assumptions!A19</f>
        <v>Alpha</v>
      </c>
      <c r="B103" s="78"/>
      <c r="C103" s="32" t="n">
        <f aca="false">SUMIF(D$5:D$80,A103,G$5:G$80)</f>
        <v>54</v>
      </c>
      <c r="D103" s="60" t="n">
        <f aca="false">TeamBudget!I18*5</f>
        <v>130</v>
      </c>
      <c r="E103" s="76" t="n">
        <f aca="false">IF(D103=0,0,C103/D103)</f>
        <v>0.415384615384615</v>
      </c>
      <c r="F103" s="32" t="str">
        <f aca="false">IF(E103&gt;0.8,"Over",IF(E103&gt;0.6,"Tight","OK"))</f>
        <v>OK</v>
      </c>
    </row>
    <row r="104" customFormat="false" ht="15" hidden="false" customHeight="true" outlineLevel="0" collapsed="false">
      <c r="A104" s="78" t="str">
        <f aca="false">Assumptions!A20</f>
        <v>Beta</v>
      </c>
      <c r="B104" s="78"/>
      <c r="C104" s="32" t="n">
        <f aca="false">SUMIF(D$5:D$80,A104,G$5:G$80)</f>
        <v>25</v>
      </c>
      <c r="D104" s="60" t="n">
        <f aca="false">TeamBudget!I19*5</f>
        <v>115</v>
      </c>
      <c r="E104" s="76" t="n">
        <f aca="false">IF(D104=0,0,C104/D104)</f>
        <v>0.217391304347826</v>
      </c>
      <c r="F104" s="32" t="str">
        <f aca="false">IF(E104&gt;0.8,"Over",IF(E104&gt;0.6,"Tight","OK"))</f>
        <v>OK</v>
      </c>
    </row>
    <row r="105" customFormat="false" ht="15" hidden="false" customHeight="true" outlineLevel="0" collapsed="false">
      <c r="A105" s="78" t="str">
        <f aca="false">Assumptions!A21</f>
        <v>Polish and ship</v>
      </c>
      <c r="B105" s="78"/>
      <c r="C105" s="32" t="n">
        <f aca="false">SUMIF(D$5:D$80,A105,G$5:G$80)</f>
        <v>9</v>
      </c>
      <c r="D105" s="60" t="n">
        <f aca="false">TeamBudget!I20*5</f>
        <v>70</v>
      </c>
      <c r="E105" s="76" t="n">
        <f aca="false">IF(D105=0,0,C105/D105)</f>
        <v>0.128571428571429</v>
      </c>
      <c r="F105" s="32" t="str">
        <f aca="false">IF(E105&gt;0.8,"Over",IF(E105&gt;0.6,"Tight","OK"))</f>
        <v>OK</v>
      </c>
    </row>
    <row r="107" customFormat="false" ht="30" hidden="false" customHeight="true" outlineLevel="0" collapsed="false">
      <c r="A107" s="54" t="s">
        <v>828</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829</v>
      </c>
      <c r="B2" s="3"/>
      <c r="C2" s="3"/>
      <c r="D2" s="3"/>
      <c r="E2" s="3"/>
      <c r="F2" s="3"/>
      <c r="G2" s="3"/>
      <c r="H2" s="3"/>
    </row>
    <row r="4" customFormat="false" ht="15" hidden="false" customHeight="true" outlineLevel="0" collapsed="false">
      <c r="A4" s="57" t="s">
        <v>5</v>
      </c>
      <c r="B4" s="57" t="s">
        <v>6</v>
      </c>
      <c r="C4" s="57" t="s">
        <v>830</v>
      </c>
      <c r="D4" s="57" t="s">
        <v>831</v>
      </c>
      <c r="E4" s="57" t="s">
        <v>832</v>
      </c>
      <c r="F4" s="57" t="s">
        <v>833</v>
      </c>
      <c r="G4" s="57" t="s">
        <v>834</v>
      </c>
      <c r="H4" s="9" t="s">
        <v>835</v>
      </c>
    </row>
    <row r="5" customFormat="false" ht="36" hidden="false" customHeight="true" outlineLevel="0" collapsed="false">
      <c r="A5" s="79" t="str">
        <f aca="false">Assumptions!A16</f>
        <v>Preproduction</v>
      </c>
      <c r="B5" s="60" t="n">
        <f aca="false">Assumptions!B16</f>
        <v>8</v>
      </c>
      <c r="C5" s="80" t="n">
        <f aca="false">Assumptions!B8</f>
        <v>46328</v>
      </c>
      <c r="D5" s="80" t="n">
        <f aca="false">C5+B5*7-1</f>
        <v>46383</v>
      </c>
      <c r="E5" s="27" t="s">
        <v>836</v>
      </c>
      <c r="F5" s="27" t="s">
        <v>837</v>
      </c>
      <c r="G5" s="27" t="s">
        <v>838</v>
      </c>
      <c r="H5" s="27" t="s">
        <v>839</v>
      </c>
    </row>
    <row r="6" customFormat="false" ht="36" hidden="false" customHeight="true" outlineLevel="0" collapsed="false">
      <c r="A6" s="79" t="str">
        <f aca="false">Assumptions!A17</f>
        <v>Vertical slice</v>
      </c>
      <c r="B6" s="60" t="n">
        <f aca="false">Assumptions!B17</f>
        <v>10</v>
      </c>
      <c r="C6" s="80" t="n">
        <f aca="false">D5+1</f>
        <v>46384</v>
      </c>
      <c r="D6" s="80" t="n">
        <f aca="false">C6+B6*7-1</f>
        <v>46453</v>
      </c>
      <c r="E6" s="28" t="s">
        <v>840</v>
      </c>
      <c r="F6" s="28" t="s">
        <v>841</v>
      </c>
      <c r="G6" s="28" t="s">
        <v>842</v>
      </c>
      <c r="H6" s="58" t="s">
        <v>843</v>
      </c>
    </row>
    <row r="7" customFormat="false" ht="36" hidden="false" customHeight="true" outlineLevel="0" collapsed="false">
      <c r="A7" s="79" t="str">
        <f aca="false">Assumptions!A18</f>
        <v>Production</v>
      </c>
      <c r="B7" s="60" t="n">
        <f aca="false">Assumptions!B18</f>
        <v>18</v>
      </c>
      <c r="C7" s="80" t="n">
        <f aca="false">D6+1</f>
        <v>46454</v>
      </c>
      <c r="D7" s="80" t="n">
        <f aca="false">C7+B7*7-1</f>
        <v>46579</v>
      </c>
      <c r="E7" s="27" t="s">
        <v>844</v>
      </c>
      <c r="F7" s="27" t="s">
        <v>845</v>
      </c>
      <c r="G7" s="27" t="s">
        <v>846</v>
      </c>
      <c r="H7" s="27" t="s">
        <v>847</v>
      </c>
    </row>
    <row r="8" customFormat="false" ht="36" hidden="false" customHeight="true" outlineLevel="0" collapsed="false">
      <c r="A8" s="79" t="str">
        <f aca="false">Assumptions!A19</f>
        <v>Alpha</v>
      </c>
      <c r="B8" s="60" t="n">
        <f aca="false">Assumptions!B19</f>
        <v>6</v>
      </c>
      <c r="C8" s="80" t="n">
        <f aca="false">D7+1</f>
        <v>46580</v>
      </c>
      <c r="D8" s="80" t="n">
        <f aca="false">C8+B8*7-1</f>
        <v>46621</v>
      </c>
      <c r="E8" s="28" t="s">
        <v>848</v>
      </c>
      <c r="F8" s="28" t="s">
        <v>849</v>
      </c>
      <c r="G8" s="28" t="s">
        <v>850</v>
      </c>
      <c r="H8" s="58" t="s">
        <v>851</v>
      </c>
    </row>
    <row r="9" customFormat="false" ht="36" hidden="false" customHeight="true" outlineLevel="0" collapsed="false">
      <c r="A9" s="79" t="str">
        <f aca="false">Assumptions!A20</f>
        <v>Beta</v>
      </c>
      <c r="B9" s="60" t="n">
        <f aca="false">Assumptions!B20</f>
        <v>6</v>
      </c>
      <c r="C9" s="80" t="n">
        <f aca="false">D8+1</f>
        <v>46622</v>
      </c>
      <c r="D9" s="80" t="n">
        <f aca="false">C9+B9*7-1</f>
        <v>46663</v>
      </c>
      <c r="E9" s="27" t="s">
        <v>852</v>
      </c>
      <c r="F9" s="27" t="s">
        <v>853</v>
      </c>
      <c r="G9" s="27" t="s">
        <v>854</v>
      </c>
      <c r="H9" s="27" t="s">
        <v>855</v>
      </c>
    </row>
    <row r="10" customFormat="false" ht="36" hidden="false" customHeight="true" outlineLevel="0" collapsed="false">
      <c r="A10" s="79" t="str">
        <f aca="false">Assumptions!A21</f>
        <v>Polish and ship</v>
      </c>
      <c r="B10" s="60" t="n">
        <f aca="false">Assumptions!B21</f>
        <v>4</v>
      </c>
      <c r="C10" s="80" t="n">
        <f aca="false">D9+1</f>
        <v>46664</v>
      </c>
      <c r="D10" s="80" t="n">
        <f aca="false">C10+B10*7-1</f>
        <v>46691</v>
      </c>
      <c r="E10" s="28" t="s">
        <v>856</v>
      </c>
      <c r="F10" s="28" t="s">
        <v>331</v>
      </c>
      <c r="G10" s="28" t="s">
        <v>857</v>
      </c>
      <c r="H10" s="58" t="s">
        <v>858</v>
      </c>
    </row>
    <row r="12" customFormat="false" ht="15" hidden="false" customHeight="true" outlineLevel="0" collapsed="false">
      <c r="A12" s="20" t="s">
        <v>859</v>
      </c>
      <c r="B12" s="81" t="n">
        <f aca="false">D10</f>
        <v>46691</v>
      </c>
      <c r="C12" s="81"/>
    </row>
    <row r="13" customFormat="false" ht="15" hidden="false" customHeight="true" outlineLevel="0" collapsed="false">
      <c r="A13" s="4" t="s">
        <v>860</v>
      </c>
      <c r="B13" s="82" t="n">
        <f aca="false">B12-Assumptions!B7</f>
        <v>387</v>
      </c>
      <c r="C13" s="82"/>
    </row>
    <row r="14" customFormat="false" ht="15" hidden="false" customHeight="true" outlineLevel="0" collapsed="false">
      <c r="A14" s="24" t="s">
        <v>861</v>
      </c>
      <c r="B14" s="24"/>
      <c r="C14" s="24"/>
      <c r="D14" s="24"/>
      <c r="E14" s="24"/>
      <c r="F14" s="24"/>
      <c r="G14" s="24"/>
      <c r="H14" s="24"/>
    </row>
    <row r="15" customFormat="false" ht="24" hidden="false" customHeight="true" outlineLevel="0" collapsed="false">
      <c r="A15" s="54" t="s">
        <v>862</v>
      </c>
      <c r="B15" s="54"/>
      <c r="C15" s="54"/>
      <c r="D15" s="54"/>
      <c r="E15" s="54"/>
      <c r="F15" s="54"/>
      <c r="G15" s="54"/>
      <c r="H15" s="54"/>
    </row>
    <row r="16" customFormat="false" ht="30" hidden="false" customHeight="true" outlineLevel="0" collapsed="false">
      <c r="A16" s="54" t="s">
        <v>863</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864</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865</v>
      </c>
      <c r="B4" s="9" t="s">
        <v>830</v>
      </c>
      <c r="C4" s="9" t="s">
        <v>831</v>
      </c>
      <c r="D4" s="83" t="n">
        <v>1</v>
      </c>
      <c r="E4" s="83" t="n">
        <v>2</v>
      </c>
      <c r="F4" s="83" t="n">
        <v>3</v>
      </c>
      <c r="G4" s="83" t="n">
        <v>4</v>
      </c>
      <c r="H4" s="83" t="n">
        <v>5</v>
      </c>
      <c r="I4" s="83" t="n">
        <v>6</v>
      </c>
      <c r="J4" s="83" t="n">
        <v>7</v>
      </c>
      <c r="K4" s="83" t="n">
        <v>8</v>
      </c>
      <c r="L4" s="83" t="n">
        <v>9</v>
      </c>
      <c r="M4" s="83" t="n">
        <v>10</v>
      </c>
      <c r="N4" s="83" t="n">
        <v>11</v>
      </c>
      <c r="O4" s="83" t="n">
        <v>12</v>
      </c>
      <c r="P4" s="83" t="n">
        <v>13</v>
      </c>
      <c r="Q4" s="83" t="n">
        <v>14</v>
      </c>
      <c r="R4" s="83" t="n">
        <v>15</v>
      </c>
      <c r="S4" s="83" t="n">
        <v>16</v>
      </c>
      <c r="T4" s="83" t="n">
        <v>17</v>
      </c>
      <c r="U4" s="83" t="n">
        <v>18</v>
      </c>
      <c r="V4" s="83" t="n">
        <v>19</v>
      </c>
      <c r="W4" s="83" t="n">
        <v>20</v>
      </c>
      <c r="X4" s="83" t="n">
        <v>21</v>
      </c>
      <c r="Y4" s="83" t="n">
        <v>22</v>
      </c>
      <c r="Z4" s="83" t="n">
        <v>23</v>
      </c>
      <c r="AA4" s="83" t="n">
        <v>24</v>
      </c>
      <c r="AB4" s="83" t="n">
        <v>25</v>
      </c>
      <c r="AC4" s="83" t="n">
        <v>26</v>
      </c>
      <c r="AD4" s="83" t="n">
        <v>27</v>
      </c>
      <c r="AE4" s="83" t="n">
        <v>28</v>
      </c>
      <c r="AF4" s="83" t="n">
        <v>29</v>
      </c>
      <c r="AG4" s="83" t="n">
        <v>30</v>
      </c>
      <c r="AH4" s="83" t="n">
        <v>31</v>
      </c>
      <c r="AI4" s="83" t="n">
        <v>32</v>
      </c>
      <c r="AJ4" s="83" t="n">
        <v>33</v>
      </c>
      <c r="AK4" s="83" t="n">
        <v>34</v>
      </c>
      <c r="AL4" s="83" t="n">
        <v>35</v>
      </c>
      <c r="AM4" s="83" t="n">
        <v>36</v>
      </c>
      <c r="AN4" s="83" t="n">
        <v>37</v>
      </c>
      <c r="AO4" s="83" t="n">
        <v>38</v>
      </c>
      <c r="AP4" s="83" t="n">
        <v>39</v>
      </c>
      <c r="AQ4" s="83" t="n">
        <v>40</v>
      </c>
      <c r="AR4" s="83" t="n">
        <v>41</v>
      </c>
      <c r="AS4" s="83" t="n">
        <v>42</v>
      </c>
      <c r="AT4" s="83" t="n">
        <v>43</v>
      </c>
      <c r="AU4" s="83" t="n">
        <v>44</v>
      </c>
      <c r="AV4" s="83" t="n">
        <v>45</v>
      </c>
      <c r="AW4" s="83" t="n">
        <v>46</v>
      </c>
      <c r="AX4" s="83" t="n">
        <v>47</v>
      </c>
      <c r="AY4" s="83" t="n">
        <v>48</v>
      </c>
      <c r="AZ4" s="83" t="n">
        <v>49</v>
      </c>
      <c r="BA4" s="83" t="n">
        <v>50</v>
      </c>
      <c r="BB4" s="83" t="n">
        <v>51</v>
      </c>
      <c r="BC4" s="83" t="n">
        <v>52</v>
      </c>
      <c r="BD4" s="83" t="n">
        <v>53</v>
      </c>
      <c r="BE4" s="83" t="n">
        <v>54</v>
      </c>
      <c r="BF4" s="83" t="n">
        <v>55</v>
      </c>
      <c r="BG4" s="83" t="n">
        <v>56</v>
      </c>
      <c r="BH4" s="83" t="n">
        <v>57</v>
      </c>
      <c r="BI4" s="83" t="n">
        <v>58</v>
      </c>
      <c r="BJ4" s="83" t="n">
        <v>59</v>
      </c>
      <c r="BK4" s="83" t="n">
        <v>60</v>
      </c>
    </row>
    <row r="5" customFormat="false" ht="42" hidden="false" customHeight="true" outlineLevel="0" collapsed="false">
      <c r="A5" s="4" t="s">
        <v>866</v>
      </c>
      <c r="B5" s="4"/>
      <c r="C5" s="4"/>
      <c r="D5" s="84" t="n">
        <f aca="false">Assumptions!$B$8+(D$4-1)*7</f>
        <v>46328</v>
      </c>
      <c r="E5" s="84" t="n">
        <f aca="false">Assumptions!$B$8+(E$4-1)*7</f>
        <v>46335</v>
      </c>
      <c r="F5" s="84" t="n">
        <f aca="false">Assumptions!$B$8+(F$4-1)*7</f>
        <v>46342</v>
      </c>
      <c r="G5" s="84" t="n">
        <f aca="false">Assumptions!$B$8+(G$4-1)*7</f>
        <v>46349</v>
      </c>
      <c r="H5" s="84" t="n">
        <f aca="false">Assumptions!$B$8+(H$4-1)*7</f>
        <v>46356</v>
      </c>
      <c r="I5" s="84" t="n">
        <f aca="false">Assumptions!$B$8+(I$4-1)*7</f>
        <v>46363</v>
      </c>
      <c r="J5" s="84" t="n">
        <f aca="false">Assumptions!$B$8+(J$4-1)*7</f>
        <v>46370</v>
      </c>
      <c r="K5" s="84" t="n">
        <f aca="false">Assumptions!$B$8+(K$4-1)*7</f>
        <v>46377</v>
      </c>
      <c r="L5" s="84" t="n">
        <f aca="false">Assumptions!$B$8+(L$4-1)*7</f>
        <v>46384</v>
      </c>
      <c r="M5" s="84" t="n">
        <f aca="false">Assumptions!$B$8+(M$4-1)*7</f>
        <v>46391</v>
      </c>
      <c r="N5" s="84" t="n">
        <f aca="false">Assumptions!$B$8+(N$4-1)*7</f>
        <v>46398</v>
      </c>
      <c r="O5" s="84" t="n">
        <f aca="false">Assumptions!$B$8+(O$4-1)*7</f>
        <v>46405</v>
      </c>
      <c r="P5" s="84" t="n">
        <f aca="false">Assumptions!$B$8+(P$4-1)*7</f>
        <v>46412</v>
      </c>
      <c r="Q5" s="84" t="n">
        <f aca="false">Assumptions!$B$8+(Q$4-1)*7</f>
        <v>46419</v>
      </c>
      <c r="R5" s="84" t="n">
        <f aca="false">Assumptions!$B$8+(R$4-1)*7</f>
        <v>46426</v>
      </c>
      <c r="S5" s="84" t="n">
        <f aca="false">Assumptions!$B$8+(S$4-1)*7</f>
        <v>46433</v>
      </c>
      <c r="T5" s="84" t="n">
        <f aca="false">Assumptions!$B$8+(T$4-1)*7</f>
        <v>46440</v>
      </c>
      <c r="U5" s="84" t="n">
        <f aca="false">Assumptions!$B$8+(U$4-1)*7</f>
        <v>46447</v>
      </c>
      <c r="V5" s="84" t="n">
        <f aca="false">Assumptions!$B$8+(V$4-1)*7</f>
        <v>46454</v>
      </c>
      <c r="W5" s="84" t="n">
        <f aca="false">Assumptions!$B$8+(W$4-1)*7</f>
        <v>46461</v>
      </c>
      <c r="X5" s="84" t="n">
        <f aca="false">Assumptions!$B$8+(X$4-1)*7</f>
        <v>46468</v>
      </c>
      <c r="Y5" s="84" t="n">
        <f aca="false">Assumptions!$B$8+(Y$4-1)*7</f>
        <v>46475</v>
      </c>
      <c r="Z5" s="84" t="n">
        <f aca="false">Assumptions!$B$8+(Z$4-1)*7</f>
        <v>46482</v>
      </c>
      <c r="AA5" s="84" t="n">
        <f aca="false">Assumptions!$B$8+(AA$4-1)*7</f>
        <v>46489</v>
      </c>
      <c r="AB5" s="84" t="n">
        <f aca="false">Assumptions!$B$8+(AB$4-1)*7</f>
        <v>46496</v>
      </c>
      <c r="AC5" s="84" t="n">
        <f aca="false">Assumptions!$B$8+(AC$4-1)*7</f>
        <v>46503</v>
      </c>
      <c r="AD5" s="84" t="n">
        <f aca="false">Assumptions!$B$8+(AD$4-1)*7</f>
        <v>46510</v>
      </c>
      <c r="AE5" s="84" t="n">
        <f aca="false">Assumptions!$B$8+(AE$4-1)*7</f>
        <v>46517</v>
      </c>
      <c r="AF5" s="84" t="n">
        <f aca="false">Assumptions!$B$8+(AF$4-1)*7</f>
        <v>46524</v>
      </c>
      <c r="AG5" s="84" t="n">
        <f aca="false">Assumptions!$B$8+(AG$4-1)*7</f>
        <v>46531</v>
      </c>
      <c r="AH5" s="84" t="n">
        <f aca="false">Assumptions!$B$8+(AH$4-1)*7</f>
        <v>46538</v>
      </c>
      <c r="AI5" s="84" t="n">
        <f aca="false">Assumptions!$B$8+(AI$4-1)*7</f>
        <v>46545</v>
      </c>
      <c r="AJ5" s="84" t="n">
        <f aca="false">Assumptions!$B$8+(AJ$4-1)*7</f>
        <v>46552</v>
      </c>
      <c r="AK5" s="84" t="n">
        <f aca="false">Assumptions!$B$8+(AK$4-1)*7</f>
        <v>46559</v>
      </c>
      <c r="AL5" s="84" t="n">
        <f aca="false">Assumptions!$B$8+(AL$4-1)*7</f>
        <v>46566</v>
      </c>
      <c r="AM5" s="84" t="n">
        <f aca="false">Assumptions!$B$8+(AM$4-1)*7</f>
        <v>46573</v>
      </c>
      <c r="AN5" s="84" t="n">
        <f aca="false">Assumptions!$B$8+(AN$4-1)*7</f>
        <v>46580</v>
      </c>
      <c r="AO5" s="84" t="n">
        <f aca="false">Assumptions!$B$8+(AO$4-1)*7</f>
        <v>46587</v>
      </c>
      <c r="AP5" s="84" t="n">
        <f aca="false">Assumptions!$B$8+(AP$4-1)*7</f>
        <v>46594</v>
      </c>
      <c r="AQ5" s="84" t="n">
        <f aca="false">Assumptions!$B$8+(AQ$4-1)*7</f>
        <v>46601</v>
      </c>
      <c r="AR5" s="84" t="n">
        <f aca="false">Assumptions!$B$8+(AR$4-1)*7</f>
        <v>46608</v>
      </c>
      <c r="AS5" s="84" t="n">
        <f aca="false">Assumptions!$B$8+(AS$4-1)*7</f>
        <v>46615</v>
      </c>
      <c r="AT5" s="84" t="n">
        <f aca="false">Assumptions!$B$8+(AT$4-1)*7</f>
        <v>46622</v>
      </c>
      <c r="AU5" s="84" t="n">
        <f aca="false">Assumptions!$B$8+(AU$4-1)*7</f>
        <v>46629</v>
      </c>
      <c r="AV5" s="84" t="n">
        <f aca="false">Assumptions!$B$8+(AV$4-1)*7</f>
        <v>46636</v>
      </c>
      <c r="AW5" s="84" t="n">
        <f aca="false">Assumptions!$B$8+(AW$4-1)*7</f>
        <v>46643</v>
      </c>
      <c r="AX5" s="84" t="n">
        <f aca="false">Assumptions!$B$8+(AX$4-1)*7</f>
        <v>46650</v>
      </c>
      <c r="AY5" s="84" t="n">
        <f aca="false">Assumptions!$B$8+(AY$4-1)*7</f>
        <v>46657</v>
      </c>
      <c r="AZ5" s="84" t="n">
        <f aca="false">Assumptions!$B$8+(AZ$4-1)*7</f>
        <v>46664</v>
      </c>
      <c r="BA5" s="84" t="n">
        <f aca="false">Assumptions!$B$8+(BA$4-1)*7</f>
        <v>46671</v>
      </c>
      <c r="BB5" s="84" t="n">
        <f aca="false">Assumptions!$B$8+(BB$4-1)*7</f>
        <v>46678</v>
      </c>
      <c r="BC5" s="84" t="n">
        <f aca="false">Assumptions!$B$8+(BC$4-1)*7</f>
        <v>46685</v>
      </c>
      <c r="BD5" s="84" t="n">
        <f aca="false">Assumptions!$B$8+(BD$4-1)*7</f>
        <v>46692</v>
      </c>
      <c r="BE5" s="84" t="n">
        <f aca="false">Assumptions!$B$8+(BE$4-1)*7</f>
        <v>46699</v>
      </c>
      <c r="BF5" s="84" t="n">
        <f aca="false">Assumptions!$B$8+(BF$4-1)*7</f>
        <v>46706</v>
      </c>
      <c r="BG5" s="84" t="n">
        <f aca="false">Assumptions!$B$8+(BG$4-1)*7</f>
        <v>46713</v>
      </c>
      <c r="BH5" s="84" t="n">
        <f aca="false">Assumptions!$B$8+(BH$4-1)*7</f>
        <v>46720</v>
      </c>
      <c r="BI5" s="84" t="n">
        <f aca="false">Assumptions!$B$8+(BI$4-1)*7</f>
        <v>46727</v>
      </c>
      <c r="BJ5" s="84" t="n">
        <f aca="false">Assumptions!$B$8+(BJ$4-1)*7</f>
        <v>46734</v>
      </c>
      <c r="BK5" s="84" t="n">
        <f aca="false">Assumptions!$B$8+(BK$4-1)*7</f>
        <v>46741</v>
      </c>
    </row>
    <row r="6" customFormat="false" ht="15" hidden="false" customHeight="true" outlineLevel="0" collapsed="false">
      <c r="A6" s="4" t="s">
        <v>867</v>
      </c>
      <c r="B6" s="4"/>
      <c r="C6" s="4"/>
      <c r="D6" s="85" t="str">
        <f aca="false">TEXT(D5,"mmm")</f>
        <v>Nov</v>
      </c>
      <c r="E6" s="85" t="str">
        <f aca="false">IF(MONTH(E5)&lt;&gt;MONTH(D5),TEXT(E5,"mmm"),"")</f>
        <v/>
      </c>
      <c r="F6" s="85" t="str">
        <f aca="false">IF(MONTH(F5)&lt;&gt;MONTH(E5),TEXT(F5,"mmm"),"")</f>
        <v/>
      </c>
      <c r="G6" s="85" t="str">
        <f aca="false">IF(MONTH(G5)&lt;&gt;MONTH(F5),TEXT(G5,"mmm"),"")</f>
        <v/>
      </c>
      <c r="H6" s="85" t="str">
        <f aca="false">IF(MONTH(H5)&lt;&gt;MONTH(G5),TEXT(H5,"mmm"),"")</f>
        <v/>
      </c>
      <c r="I6" s="85" t="str">
        <f aca="false">IF(MONTH(I5)&lt;&gt;MONTH(H5),TEXT(I5,"mmm"),"")</f>
        <v>Dec</v>
      </c>
      <c r="J6" s="85" t="str">
        <f aca="false">IF(MONTH(J5)&lt;&gt;MONTH(I5),TEXT(J5,"mmm"),"")</f>
        <v/>
      </c>
      <c r="K6" s="85" t="str">
        <f aca="false">IF(MONTH(K5)&lt;&gt;MONTH(J5),TEXT(K5,"mmm"),"")</f>
        <v/>
      </c>
      <c r="L6" s="85" t="str">
        <f aca="false">IF(MONTH(L5)&lt;&gt;MONTH(K5),TEXT(L5,"mmm"),"")</f>
        <v/>
      </c>
      <c r="M6" s="85" t="str">
        <f aca="false">IF(MONTH(M5)&lt;&gt;MONTH(L5),TEXT(M5,"mmm"),"")</f>
        <v>Jan</v>
      </c>
      <c r="N6" s="85" t="str">
        <f aca="false">IF(MONTH(N5)&lt;&gt;MONTH(M5),TEXT(N5,"mmm"),"")</f>
        <v/>
      </c>
      <c r="O6" s="85" t="str">
        <f aca="false">IF(MONTH(O5)&lt;&gt;MONTH(N5),TEXT(O5,"mmm"),"")</f>
        <v/>
      </c>
      <c r="P6" s="85" t="str">
        <f aca="false">IF(MONTH(P5)&lt;&gt;MONTH(O5),TEXT(P5,"mmm"),"")</f>
        <v/>
      </c>
      <c r="Q6" s="85" t="str">
        <f aca="false">IF(MONTH(Q5)&lt;&gt;MONTH(P5),TEXT(Q5,"mmm"),"")</f>
        <v>Feb</v>
      </c>
      <c r="R6" s="85" t="str">
        <f aca="false">IF(MONTH(R5)&lt;&gt;MONTH(Q5),TEXT(R5,"mmm"),"")</f>
        <v/>
      </c>
      <c r="S6" s="85" t="str">
        <f aca="false">IF(MONTH(S5)&lt;&gt;MONTH(R5),TEXT(S5,"mmm"),"")</f>
        <v/>
      </c>
      <c r="T6" s="85" t="str">
        <f aca="false">IF(MONTH(T5)&lt;&gt;MONTH(S5),TEXT(T5,"mmm"),"")</f>
        <v/>
      </c>
      <c r="U6" s="85" t="str">
        <f aca="false">IF(MONTH(U5)&lt;&gt;MONTH(T5),TEXT(U5,"mmm"),"")</f>
        <v>Mar</v>
      </c>
      <c r="V6" s="85" t="str">
        <f aca="false">IF(MONTH(V5)&lt;&gt;MONTH(U5),TEXT(V5,"mmm"),"")</f>
        <v/>
      </c>
      <c r="W6" s="85" t="str">
        <f aca="false">IF(MONTH(W5)&lt;&gt;MONTH(V5),TEXT(W5,"mmm"),"")</f>
        <v/>
      </c>
      <c r="X6" s="85" t="str">
        <f aca="false">IF(MONTH(X5)&lt;&gt;MONTH(W5),TEXT(X5,"mmm"),"")</f>
        <v/>
      </c>
      <c r="Y6" s="85" t="str">
        <f aca="false">IF(MONTH(Y5)&lt;&gt;MONTH(X5),TEXT(Y5,"mmm"),"")</f>
        <v/>
      </c>
      <c r="Z6" s="85" t="str">
        <f aca="false">IF(MONTH(Z5)&lt;&gt;MONTH(Y5),TEXT(Z5,"mmm"),"")</f>
        <v>Apr</v>
      </c>
      <c r="AA6" s="85" t="str">
        <f aca="false">IF(MONTH(AA5)&lt;&gt;MONTH(Z5),TEXT(AA5,"mmm"),"")</f>
        <v/>
      </c>
      <c r="AB6" s="85" t="str">
        <f aca="false">IF(MONTH(AB5)&lt;&gt;MONTH(AA5),TEXT(AB5,"mmm"),"")</f>
        <v/>
      </c>
      <c r="AC6" s="85" t="str">
        <f aca="false">IF(MONTH(AC5)&lt;&gt;MONTH(AB5),TEXT(AC5,"mmm"),"")</f>
        <v/>
      </c>
      <c r="AD6" s="85" t="str">
        <f aca="false">IF(MONTH(AD5)&lt;&gt;MONTH(AC5),TEXT(AD5,"mmm"),"")</f>
        <v>May</v>
      </c>
      <c r="AE6" s="85" t="str">
        <f aca="false">IF(MONTH(AE5)&lt;&gt;MONTH(AD5),TEXT(AE5,"mmm"),"")</f>
        <v/>
      </c>
      <c r="AF6" s="85" t="str">
        <f aca="false">IF(MONTH(AF5)&lt;&gt;MONTH(AE5),TEXT(AF5,"mmm"),"")</f>
        <v/>
      </c>
      <c r="AG6" s="85" t="str">
        <f aca="false">IF(MONTH(AG5)&lt;&gt;MONTH(AF5),TEXT(AG5,"mmm"),"")</f>
        <v/>
      </c>
      <c r="AH6" s="85" t="str">
        <f aca="false">IF(MONTH(AH5)&lt;&gt;MONTH(AG5),TEXT(AH5,"mmm"),"")</f>
        <v/>
      </c>
      <c r="AI6" s="85" t="str">
        <f aca="false">IF(MONTH(AI5)&lt;&gt;MONTH(AH5),TEXT(AI5,"mmm"),"")</f>
        <v>Jun</v>
      </c>
      <c r="AJ6" s="85" t="str">
        <f aca="false">IF(MONTH(AJ5)&lt;&gt;MONTH(AI5),TEXT(AJ5,"mmm"),"")</f>
        <v/>
      </c>
      <c r="AK6" s="85" t="str">
        <f aca="false">IF(MONTH(AK5)&lt;&gt;MONTH(AJ5),TEXT(AK5,"mmm"),"")</f>
        <v/>
      </c>
      <c r="AL6" s="85" t="str">
        <f aca="false">IF(MONTH(AL5)&lt;&gt;MONTH(AK5),TEXT(AL5,"mmm"),"")</f>
        <v/>
      </c>
      <c r="AM6" s="85" t="str">
        <f aca="false">IF(MONTH(AM5)&lt;&gt;MONTH(AL5),TEXT(AM5,"mmm"),"")</f>
        <v>Jul</v>
      </c>
      <c r="AN6" s="85" t="str">
        <f aca="false">IF(MONTH(AN5)&lt;&gt;MONTH(AM5),TEXT(AN5,"mmm"),"")</f>
        <v/>
      </c>
      <c r="AO6" s="85" t="str">
        <f aca="false">IF(MONTH(AO5)&lt;&gt;MONTH(AN5),TEXT(AO5,"mmm"),"")</f>
        <v/>
      </c>
      <c r="AP6" s="85" t="str">
        <f aca="false">IF(MONTH(AP5)&lt;&gt;MONTH(AO5),TEXT(AP5,"mmm"),"")</f>
        <v/>
      </c>
      <c r="AQ6" s="85" t="str">
        <f aca="false">IF(MONTH(AQ5)&lt;&gt;MONTH(AP5),TEXT(AQ5,"mmm"),"")</f>
        <v>Aug</v>
      </c>
      <c r="AR6" s="85" t="str">
        <f aca="false">IF(MONTH(AR5)&lt;&gt;MONTH(AQ5),TEXT(AR5,"mmm"),"")</f>
        <v/>
      </c>
      <c r="AS6" s="85" t="str">
        <f aca="false">IF(MONTH(AS5)&lt;&gt;MONTH(AR5),TEXT(AS5,"mmm"),"")</f>
        <v/>
      </c>
      <c r="AT6" s="85" t="str">
        <f aca="false">IF(MONTH(AT5)&lt;&gt;MONTH(AS5),TEXT(AT5,"mmm"),"")</f>
        <v/>
      </c>
      <c r="AU6" s="85" t="str">
        <f aca="false">IF(MONTH(AU5)&lt;&gt;MONTH(AT5),TEXT(AU5,"mmm"),"")</f>
        <v/>
      </c>
      <c r="AV6" s="85" t="str">
        <f aca="false">IF(MONTH(AV5)&lt;&gt;MONTH(AU5),TEXT(AV5,"mmm"),"")</f>
        <v>Sep</v>
      </c>
      <c r="AW6" s="85" t="str">
        <f aca="false">IF(MONTH(AW5)&lt;&gt;MONTH(AV5),TEXT(AW5,"mmm"),"")</f>
        <v/>
      </c>
      <c r="AX6" s="85" t="str">
        <f aca="false">IF(MONTH(AX5)&lt;&gt;MONTH(AW5),TEXT(AX5,"mmm"),"")</f>
        <v/>
      </c>
      <c r="AY6" s="85" t="str">
        <f aca="false">IF(MONTH(AY5)&lt;&gt;MONTH(AX5),TEXT(AY5,"mmm"),"")</f>
        <v/>
      </c>
      <c r="AZ6" s="85" t="str">
        <f aca="false">IF(MONTH(AZ5)&lt;&gt;MONTH(AY5),TEXT(AZ5,"mmm"),"")</f>
        <v>Oct</v>
      </c>
      <c r="BA6" s="85" t="str">
        <f aca="false">IF(MONTH(BA5)&lt;&gt;MONTH(AZ5),TEXT(BA5,"mmm"),"")</f>
        <v/>
      </c>
      <c r="BB6" s="85" t="str">
        <f aca="false">IF(MONTH(BB5)&lt;&gt;MONTH(BA5),TEXT(BB5,"mmm"),"")</f>
        <v/>
      </c>
      <c r="BC6" s="85" t="str">
        <f aca="false">IF(MONTH(BC5)&lt;&gt;MONTH(BB5),TEXT(BC5,"mmm"),"")</f>
        <v/>
      </c>
      <c r="BD6" s="85" t="str">
        <f aca="false">IF(MONTH(BD5)&lt;&gt;MONTH(BC5),TEXT(BD5,"mmm"),"")</f>
        <v>Nov</v>
      </c>
      <c r="BE6" s="85" t="str">
        <f aca="false">IF(MONTH(BE5)&lt;&gt;MONTH(BD5),TEXT(BE5,"mmm"),"")</f>
        <v/>
      </c>
      <c r="BF6" s="85" t="str">
        <f aca="false">IF(MONTH(BF5)&lt;&gt;MONTH(BE5),TEXT(BF5,"mmm"),"")</f>
        <v/>
      </c>
      <c r="BG6" s="85" t="str">
        <f aca="false">IF(MONTH(BG5)&lt;&gt;MONTH(BF5),TEXT(BG5,"mmm"),"")</f>
        <v/>
      </c>
      <c r="BH6" s="85" t="str">
        <f aca="false">IF(MONTH(BH5)&lt;&gt;MONTH(BG5),TEXT(BH5,"mmm"),"")</f>
        <v/>
      </c>
      <c r="BI6" s="85" t="str">
        <f aca="false">IF(MONTH(BI5)&lt;&gt;MONTH(BH5),TEXT(BI5,"mmm"),"")</f>
        <v>Dec</v>
      </c>
      <c r="BJ6" s="85" t="str">
        <f aca="false">IF(MONTH(BJ5)&lt;&gt;MONTH(BI5),TEXT(BJ5,"mmm"),"")</f>
        <v/>
      </c>
      <c r="BK6" s="85" t="str">
        <f aca="false">IF(MONTH(BK5)&lt;&gt;MONTH(BJ5),TEXT(BK5,"mmm"),"")</f>
        <v/>
      </c>
    </row>
    <row r="7" customFormat="false" ht="18" hidden="false" customHeight="true" outlineLevel="0" collapsed="false">
      <c r="A7" s="79" t="str">
        <f aca="false">Schedule!A5</f>
        <v>Preproduction</v>
      </c>
      <c r="B7" s="86" t="n">
        <f aca="false">Schedule!C5</f>
        <v>46328</v>
      </c>
      <c r="C7" s="86" t="n">
        <f aca="false">Schedule!D5</f>
        <v>46383</v>
      </c>
      <c r="D7" s="87" t="n">
        <f aca="false">IF(AND(D$5+6&gt;=$B7,D$5&lt;=$C7),1,"")</f>
        <v>1</v>
      </c>
      <c r="E7" s="87" t="n">
        <f aca="false">IF(AND(E$5+6&gt;=$B7,E$5&lt;=$C7),1,"")</f>
        <v>1</v>
      </c>
      <c r="F7" s="87" t="n">
        <f aca="false">IF(AND(F$5+6&gt;=$B7,F$5&lt;=$C7),1,"")</f>
        <v>1</v>
      </c>
      <c r="G7" s="87" t="n">
        <f aca="false">IF(AND(G$5+6&gt;=$B7,G$5&lt;=$C7),1,"")</f>
        <v>1</v>
      </c>
      <c r="H7" s="87" t="n">
        <f aca="false">IF(AND(H$5+6&gt;=$B7,H$5&lt;=$C7),1,"")</f>
        <v>1</v>
      </c>
      <c r="I7" s="87" t="n">
        <f aca="false">IF(AND(I$5+6&gt;=$B7,I$5&lt;=$C7),1,"")</f>
        <v>1</v>
      </c>
      <c r="J7" s="87" t="n">
        <f aca="false">IF(AND(J$5+6&gt;=$B7,J$5&lt;=$C7),1,"")</f>
        <v>1</v>
      </c>
      <c r="K7" s="87" t="n">
        <f aca="false">IF(AND(K$5+6&gt;=$B7,K$5&lt;=$C7),1,"")</f>
        <v>1</v>
      </c>
      <c r="L7" s="87" t="str">
        <f aca="false">IF(AND(L$5+6&gt;=$B7,L$5&lt;=$C7),1,"")</f>
        <v/>
      </c>
      <c r="M7" s="87" t="str">
        <f aca="false">IF(AND(M$5+6&gt;=$B7,M$5&lt;=$C7),1,"")</f>
        <v/>
      </c>
      <c r="N7" s="87" t="str">
        <f aca="false">IF(AND(N$5+6&gt;=$B7,N$5&lt;=$C7),1,"")</f>
        <v/>
      </c>
      <c r="O7" s="87" t="str">
        <f aca="false">IF(AND(O$5+6&gt;=$B7,O$5&lt;=$C7),1,"")</f>
        <v/>
      </c>
      <c r="P7" s="87" t="str">
        <f aca="false">IF(AND(P$5+6&gt;=$B7,P$5&lt;=$C7),1,"")</f>
        <v/>
      </c>
      <c r="Q7" s="87" t="str">
        <f aca="false">IF(AND(Q$5+6&gt;=$B7,Q$5&lt;=$C7),1,"")</f>
        <v/>
      </c>
      <c r="R7" s="87" t="str">
        <f aca="false">IF(AND(R$5+6&gt;=$B7,R$5&lt;=$C7),1,"")</f>
        <v/>
      </c>
      <c r="S7" s="87" t="str">
        <f aca="false">IF(AND(S$5+6&gt;=$B7,S$5&lt;=$C7),1,"")</f>
        <v/>
      </c>
      <c r="T7" s="87" t="str">
        <f aca="false">IF(AND(T$5+6&gt;=$B7,T$5&lt;=$C7),1,"")</f>
        <v/>
      </c>
      <c r="U7" s="87" t="str">
        <f aca="false">IF(AND(U$5+6&gt;=$B7,U$5&lt;=$C7),1,"")</f>
        <v/>
      </c>
      <c r="V7" s="87" t="str">
        <f aca="false">IF(AND(V$5+6&gt;=$B7,V$5&lt;=$C7),1,"")</f>
        <v/>
      </c>
      <c r="W7" s="87" t="str">
        <f aca="false">IF(AND(W$5+6&gt;=$B7,W$5&lt;=$C7),1,"")</f>
        <v/>
      </c>
      <c r="X7" s="87" t="str">
        <f aca="false">IF(AND(X$5+6&gt;=$B7,X$5&lt;=$C7),1,"")</f>
        <v/>
      </c>
      <c r="Y7" s="87" t="str">
        <f aca="false">IF(AND(Y$5+6&gt;=$B7,Y$5&lt;=$C7),1,"")</f>
        <v/>
      </c>
      <c r="Z7" s="87" t="str">
        <f aca="false">IF(AND(Z$5+6&gt;=$B7,Z$5&lt;=$C7),1,"")</f>
        <v/>
      </c>
      <c r="AA7" s="87" t="str">
        <f aca="false">IF(AND(AA$5+6&gt;=$B7,AA$5&lt;=$C7),1,"")</f>
        <v/>
      </c>
      <c r="AB7" s="87" t="str">
        <f aca="false">IF(AND(AB$5+6&gt;=$B7,AB$5&lt;=$C7),1,"")</f>
        <v/>
      </c>
      <c r="AC7" s="87" t="str">
        <f aca="false">IF(AND(AC$5+6&gt;=$B7,AC$5&lt;=$C7),1,"")</f>
        <v/>
      </c>
      <c r="AD7" s="87" t="str">
        <f aca="false">IF(AND(AD$5+6&gt;=$B7,AD$5&lt;=$C7),1,"")</f>
        <v/>
      </c>
      <c r="AE7" s="87" t="str">
        <f aca="false">IF(AND(AE$5+6&gt;=$B7,AE$5&lt;=$C7),1,"")</f>
        <v/>
      </c>
      <c r="AF7" s="87" t="str">
        <f aca="false">IF(AND(AF$5+6&gt;=$B7,AF$5&lt;=$C7),1,"")</f>
        <v/>
      </c>
      <c r="AG7" s="87" t="str">
        <f aca="false">IF(AND(AG$5+6&gt;=$B7,AG$5&lt;=$C7),1,"")</f>
        <v/>
      </c>
      <c r="AH7" s="87" t="str">
        <f aca="false">IF(AND(AH$5+6&gt;=$B7,AH$5&lt;=$C7),1,"")</f>
        <v/>
      </c>
      <c r="AI7" s="87" t="str">
        <f aca="false">IF(AND(AI$5+6&gt;=$B7,AI$5&lt;=$C7),1,"")</f>
        <v/>
      </c>
      <c r="AJ7" s="87" t="str">
        <f aca="false">IF(AND(AJ$5+6&gt;=$B7,AJ$5&lt;=$C7),1,"")</f>
        <v/>
      </c>
      <c r="AK7" s="87" t="str">
        <f aca="false">IF(AND(AK$5+6&gt;=$B7,AK$5&lt;=$C7),1,"")</f>
        <v/>
      </c>
      <c r="AL7" s="87" t="str">
        <f aca="false">IF(AND(AL$5+6&gt;=$B7,AL$5&lt;=$C7),1,"")</f>
        <v/>
      </c>
      <c r="AM7" s="87" t="str">
        <f aca="false">IF(AND(AM$5+6&gt;=$B7,AM$5&lt;=$C7),1,"")</f>
        <v/>
      </c>
      <c r="AN7" s="87" t="str">
        <f aca="false">IF(AND(AN$5+6&gt;=$B7,AN$5&lt;=$C7),1,"")</f>
        <v/>
      </c>
      <c r="AO7" s="87" t="str">
        <f aca="false">IF(AND(AO$5+6&gt;=$B7,AO$5&lt;=$C7),1,"")</f>
        <v/>
      </c>
      <c r="AP7" s="87" t="str">
        <f aca="false">IF(AND(AP$5+6&gt;=$B7,AP$5&lt;=$C7),1,"")</f>
        <v/>
      </c>
      <c r="AQ7" s="87" t="str">
        <f aca="false">IF(AND(AQ$5+6&gt;=$B7,AQ$5&lt;=$C7),1,"")</f>
        <v/>
      </c>
      <c r="AR7" s="87" t="str">
        <f aca="false">IF(AND(AR$5+6&gt;=$B7,AR$5&lt;=$C7),1,"")</f>
        <v/>
      </c>
      <c r="AS7" s="87" t="str">
        <f aca="false">IF(AND(AS$5+6&gt;=$B7,AS$5&lt;=$C7),1,"")</f>
        <v/>
      </c>
      <c r="AT7" s="87" t="str">
        <f aca="false">IF(AND(AT$5+6&gt;=$B7,AT$5&lt;=$C7),1,"")</f>
        <v/>
      </c>
      <c r="AU7" s="87" t="str">
        <f aca="false">IF(AND(AU$5+6&gt;=$B7,AU$5&lt;=$C7),1,"")</f>
        <v/>
      </c>
      <c r="AV7" s="87" t="str">
        <f aca="false">IF(AND(AV$5+6&gt;=$B7,AV$5&lt;=$C7),1,"")</f>
        <v/>
      </c>
      <c r="AW7" s="87" t="str">
        <f aca="false">IF(AND(AW$5+6&gt;=$B7,AW$5&lt;=$C7),1,"")</f>
        <v/>
      </c>
      <c r="AX7" s="87" t="str">
        <f aca="false">IF(AND(AX$5+6&gt;=$B7,AX$5&lt;=$C7),1,"")</f>
        <v/>
      </c>
      <c r="AY7" s="87" t="str">
        <f aca="false">IF(AND(AY$5+6&gt;=$B7,AY$5&lt;=$C7),1,"")</f>
        <v/>
      </c>
      <c r="AZ7" s="87" t="str">
        <f aca="false">IF(AND(AZ$5+6&gt;=$B7,AZ$5&lt;=$C7),1,"")</f>
        <v/>
      </c>
      <c r="BA7" s="87" t="str">
        <f aca="false">IF(AND(BA$5+6&gt;=$B7,BA$5&lt;=$C7),1,"")</f>
        <v/>
      </c>
      <c r="BB7" s="87" t="str">
        <f aca="false">IF(AND(BB$5+6&gt;=$B7,BB$5&lt;=$C7),1,"")</f>
        <v/>
      </c>
      <c r="BC7" s="87" t="str">
        <f aca="false">IF(AND(BC$5+6&gt;=$B7,BC$5&lt;=$C7),1,"")</f>
        <v/>
      </c>
      <c r="BD7" s="87" t="str">
        <f aca="false">IF(AND(BD$5+6&gt;=$B7,BD$5&lt;=$C7),1,"")</f>
        <v/>
      </c>
      <c r="BE7" s="87" t="str">
        <f aca="false">IF(AND(BE$5+6&gt;=$B7,BE$5&lt;=$C7),1,"")</f>
        <v/>
      </c>
      <c r="BF7" s="87" t="str">
        <f aca="false">IF(AND(BF$5+6&gt;=$B7,BF$5&lt;=$C7),1,"")</f>
        <v/>
      </c>
      <c r="BG7" s="87" t="str">
        <f aca="false">IF(AND(BG$5+6&gt;=$B7,BG$5&lt;=$C7),1,"")</f>
        <v/>
      </c>
      <c r="BH7" s="87" t="str">
        <f aca="false">IF(AND(BH$5+6&gt;=$B7,BH$5&lt;=$C7),1,"")</f>
        <v/>
      </c>
      <c r="BI7" s="87" t="str">
        <f aca="false">IF(AND(BI$5+6&gt;=$B7,BI$5&lt;=$C7),1,"")</f>
        <v/>
      </c>
      <c r="BJ7" s="87" t="str">
        <f aca="false">IF(AND(BJ$5+6&gt;=$B7,BJ$5&lt;=$C7),1,"")</f>
        <v/>
      </c>
      <c r="BK7" s="87" t="str">
        <f aca="false">IF(AND(BK$5+6&gt;=$B7,BK$5&lt;=$C7),1,"")</f>
        <v/>
      </c>
    </row>
    <row r="8" customFormat="false" ht="18" hidden="false" customHeight="true" outlineLevel="0" collapsed="false">
      <c r="A8" s="79" t="str">
        <f aca="false">Schedule!A6</f>
        <v>Vertical slice</v>
      </c>
      <c r="B8" s="86" t="n">
        <f aca="false">Schedule!C6</f>
        <v>46384</v>
      </c>
      <c r="C8" s="86" t="n">
        <f aca="false">Schedule!D6</f>
        <v>46453</v>
      </c>
      <c r="D8" s="87" t="str">
        <f aca="false">IF(AND(D$5+6&gt;=$B8,D$5&lt;=$C8),1,"")</f>
        <v/>
      </c>
      <c r="E8" s="87" t="str">
        <f aca="false">IF(AND(E$5+6&gt;=$B8,E$5&lt;=$C8),1,"")</f>
        <v/>
      </c>
      <c r="F8" s="87" t="str">
        <f aca="false">IF(AND(F$5+6&gt;=$B8,F$5&lt;=$C8),1,"")</f>
        <v/>
      </c>
      <c r="G8" s="87" t="str">
        <f aca="false">IF(AND(G$5+6&gt;=$B8,G$5&lt;=$C8),1,"")</f>
        <v/>
      </c>
      <c r="H8" s="87" t="str">
        <f aca="false">IF(AND(H$5+6&gt;=$B8,H$5&lt;=$C8),1,"")</f>
        <v/>
      </c>
      <c r="I8" s="87" t="str">
        <f aca="false">IF(AND(I$5+6&gt;=$B8,I$5&lt;=$C8),1,"")</f>
        <v/>
      </c>
      <c r="J8" s="87" t="str">
        <f aca="false">IF(AND(J$5+6&gt;=$B8,J$5&lt;=$C8),1,"")</f>
        <v/>
      </c>
      <c r="K8" s="87" t="str">
        <f aca="false">IF(AND(K$5+6&gt;=$B8,K$5&lt;=$C8),1,"")</f>
        <v/>
      </c>
      <c r="L8" s="87" t="n">
        <f aca="false">IF(AND(L$5+6&gt;=$B8,L$5&lt;=$C8),1,"")</f>
        <v>1</v>
      </c>
      <c r="M8" s="87" t="n">
        <f aca="false">IF(AND(M$5+6&gt;=$B8,M$5&lt;=$C8),1,"")</f>
        <v>1</v>
      </c>
      <c r="N8" s="87" t="n">
        <f aca="false">IF(AND(N$5+6&gt;=$B8,N$5&lt;=$C8),1,"")</f>
        <v>1</v>
      </c>
      <c r="O8" s="87" t="n">
        <f aca="false">IF(AND(O$5+6&gt;=$B8,O$5&lt;=$C8),1,"")</f>
        <v>1</v>
      </c>
      <c r="P8" s="87" t="n">
        <f aca="false">IF(AND(P$5+6&gt;=$B8,P$5&lt;=$C8),1,"")</f>
        <v>1</v>
      </c>
      <c r="Q8" s="87" t="n">
        <f aca="false">IF(AND(Q$5+6&gt;=$B8,Q$5&lt;=$C8),1,"")</f>
        <v>1</v>
      </c>
      <c r="R8" s="87" t="n">
        <f aca="false">IF(AND(R$5+6&gt;=$B8,R$5&lt;=$C8),1,"")</f>
        <v>1</v>
      </c>
      <c r="S8" s="87" t="n">
        <f aca="false">IF(AND(S$5+6&gt;=$B8,S$5&lt;=$C8),1,"")</f>
        <v>1</v>
      </c>
      <c r="T8" s="87" t="n">
        <f aca="false">IF(AND(T$5+6&gt;=$B8,T$5&lt;=$C8),1,"")</f>
        <v>1</v>
      </c>
      <c r="U8" s="87" t="n">
        <f aca="false">IF(AND(U$5+6&gt;=$B8,U$5&lt;=$C8),1,"")</f>
        <v>1</v>
      </c>
      <c r="V8" s="87" t="str">
        <f aca="false">IF(AND(V$5+6&gt;=$B8,V$5&lt;=$C8),1,"")</f>
        <v/>
      </c>
      <c r="W8" s="87" t="str">
        <f aca="false">IF(AND(W$5+6&gt;=$B8,W$5&lt;=$C8),1,"")</f>
        <v/>
      </c>
      <c r="X8" s="87" t="str">
        <f aca="false">IF(AND(X$5+6&gt;=$B8,X$5&lt;=$C8),1,"")</f>
        <v/>
      </c>
      <c r="Y8" s="87" t="str">
        <f aca="false">IF(AND(Y$5+6&gt;=$B8,Y$5&lt;=$C8),1,"")</f>
        <v/>
      </c>
      <c r="Z8" s="87" t="str">
        <f aca="false">IF(AND(Z$5+6&gt;=$B8,Z$5&lt;=$C8),1,"")</f>
        <v/>
      </c>
      <c r="AA8" s="87" t="str">
        <f aca="false">IF(AND(AA$5+6&gt;=$B8,AA$5&lt;=$C8),1,"")</f>
        <v/>
      </c>
      <c r="AB8" s="87" t="str">
        <f aca="false">IF(AND(AB$5+6&gt;=$B8,AB$5&lt;=$C8),1,"")</f>
        <v/>
      </c>
      <c r="AC8" s="87" t="str">
        <f aca="false">IF(AND(AC$5+6&gt;=$B8,AC$5&lt;=$C8),1,"")</f>
        <v/>
      </c>
      <c r="AD8" s="87" t="str">
        <f aca="false">IF(AND(AD$5+6&gt;=$B8,AD$5&lt;=$C8),1,"")</f>
        <v/>
      </c>
      <c r="AE8" s="87" t="str">
        <f aca="false">IF(AND(AE$5+6&gt;=$B8,AE$5&lt;=$C8),1,"")</f>
        <v/>
      </c>
      <c r="AF8" s="87" t="str">
        <f aca="false">IF(AND(AF$5+6&gt;=$B8,AF$5&lt;=$C8),1,"")</f>
        <v/>
      </c>
      <c r="AG8" s="87" t="str">
        <f aca="false">IF(AND(AG$5+6&gt;=$B8,AG$5&lt;=$C8),1,"")</f>
        <v/>
      </c>
      <c r="AH8" s="87" t="str">
        <f aca="false">IF(AND(AH$5+6&gt;=$B8,AH$5&lt;=$C8),1,"")</f>
        <v/>
      </c>
      <c r="AI8" s="87" t="str">
        <f aca="false">IF(AND(AI$5+6&gt;=$B8,AI$5&lt;=$C8),1,"")</f>
        <v/>
      </c>
      <c r="AJ8" s="87" t="str">
        <f aca="false">IF(AND(AJ$5+6&gt;=$B8,AJ$5&lt;=$C8),1,"")</f>
        <v/>
      </c>
      <c r="AK8" s="87" t="str">
        <f aca="false">IF(AND(AK$5+6&gt;=$B8,AK$5&lt;=$C8),1,"")</f>
        <v/>
      </c>
      <c r="AL8" s="87" t="str">
        <f aca="false">IF(AND(AL$5+6&gt;=$B8,AL$5&lt;=$C8),1,"")</f>
        <v/>
      </c>
      <c r="AM8" s="87" t="str">
        <f aca="false">IF(AND(AM$5+6&gt;=$B8,AM$5&lt;=$C8),1,"")</f>
        <v/>
      </c>
      <c r="AN8" s="87" t="str">
        <f aca="false">IF(AND(AN$5+6&gt;=$B8,AN$5&lt;=$C8),1,"")</f>
        <v/>
      </c>
      <c r="AO8" s="87" t="str">
        <f aca="false">IF(AND(AO$5+6&gt;=$B8,AO$5&lt;=$C8),1,"")</f>
        <v/>
      </c>
      <c r="AP8" s="87" t="str">
        <f aca="false">IF(AND(AP$5+6&gt;=$B8,AP$5&lt;=$C8),1,"")</f>
        <v/>
      </c>
      <c r="AQ8" s="87" t="str">
        <f aca="false">IF(AND(AQ$5+6&gt;=$B8,AQ$5&lt;=$C8),1,"")</f>
        <v/>
      </c>
      <c r="AR8" s="87" t="str">
        <f aca="false">IF(AND(AR$5+6&gt;=$B8,AR$5&lt;=$C8),1,"")</f>
        <v/>
      </c>
      <c r="AS8" s="87" t="str">
        <f aca="false">IF(AND(AS$5+6&gt;=$B8,AS$5&lt;=$C8),1,"")</f>
        <v/>
      </c>
      <c r="AT8" s="87" t="str">
        <f aca="false">IF(AND(AT$5+6&gt;=$B8,AT$5&lt;=$C8),1,"")</f>
        <v/>
      </c>
      <c r="AU8" s="87" t="str">
        <f aca="false">IF(AND(AU$5+6&gt;=$B8,AU$5&lt;=$C8),1,"")</f>
        <v/>
      </c>
      <c r="AV8" s="87" t="str">
        <f aca="false">IF(AND(AV$5+6&gt;=$B8,AV$5&lt;=$C8),1,"")</f>
        <v/>
      </c>
      <c r="AW8" s="87" t="str">
        <f aca="false">IF(AND(AW$5+6&gt;=$B8,AW$5&lt;=$C8),1,"")</f>
        <v/>
      </c>
      <c r="AX8" s="87" t="str">
        <f aca="false">IF(AND(AX$5+6&gt;=$B8,AX$5&lt;=$C8),1,"")</f>
        <v/>
      </c>
      <c r="AY8" s="87" t="str">
        <f aca="false">IF(AND(AY$5+6&gt;=$B8,AY$5&lt;=$C8),1,"")</f>
        <v/>
      </c>
      <c r="AZ8" s="87" t="str">
        <f aca="false">IF(AND(AZ$5+6&gt;=$B8,AZ$5&lt;=$C8),1,"")</f>
        <v/>
      </c>
      <c r="BA8" s="87" t="str">
        <f aca="false">IF(AND(BA$5+6&gt;=$B8,BA$5&lt;=$C8),1,"")</f>
        <v/>
      </c>
      <c r="BB8" s="87" t="str">
        <f aca="false">IF(AND(BB$5+6&gt;=$B8,BB$5&lt;=$C8),1,"")</f>
        <v/>
      </c>
      <c r="BC8" s="87" t="str">
        <f aca="false">IF(AND(BC$5+6&gt;=$B8,BC$5&lt;=$C8),1,"")</f>
        <v/>
      </c>
      <c r="BD8" s="87" t="str">
        <f aca="false">IF(AND(BD$5+6&gt;=$B8,BD$5&lt;=$C8),1,"")</f>
        <v/>
      </c>
      <c r="BE8" s="87" t="str">
        <f aca="false">IF(AND(BE$5+6&gt;=$B8,BE$5&lt;=$C8),1,"")</f>
        <v/>
      </c>
      <c r="BF8" s="87" t="str">
        <f aca="false">IF(AND(BF$5+6&gt;=$B8,BF$5&lt;=$C8),1,"")</f>
        <v/>
      </c>
      <c r="BG8" s="87" t="str">
        <f aca="false">IF(AND(BG$5+6&gt;=$B8,BG$5&lt;=$C8),1,"")</f>
        <v/>
      </c>
      <c r="BH8" s="87" t="str">
        <f aca="false">IF(AND(BH$5+6&gt;=$B8,BH$5&lt;=$C8),1,"")</f>
        <v/>
      </c>
      <c r="BI8" s="87" t="str">
        <f aca="false">IF(AND(BI$5+6&gt;=$B8,BI$5&lt;=$C8),1,"")</f>
        <v/>
      </c>
      <c r="BJ8" s="87" t="str">
        <f aca="false">IF(AND(BJ$5+6&gt;=$B8,BJ$5&lt;=$C8),1,"")</f>
        <v/>
      </c>
      <c r="BK8" s="87" t="str">
        <f aca="false">IF(AND(BK$5+6&gt;=$B8,BK$5&lt;=$C8),1,"")</f>
        <v/>
      </c>
    </row>
    <row r="9" customFormat="false" ht="18" hidden="false" customHeight="true" outlineLevel="0" collapsed="false">
      <c r="A9" s="79" t="str">
        <f aca="false">Schedule!A7</f>
        <v>Production</v>
      </c>
      <c r="B9" s="86" t="n">
        <f aca="false">Schedule!C7</f>
        <v>46454</v>
      </c>
      <c r="C9" s="86" t="n">
        <f aca="false">Schedule!D7</f>
        <v>46579</v>
      </c>
      <c r="D9" s="87" t="str">
        <f aca="false">IF(AND(D$5+6&gt;=$B9,D$5&lt;=$C9),1,"")</f>
        <v/>
      </c>
      <c r="E9" s="87" t="str">
        <f aca="false">IF(AND(E$5+6&gt;=$B9,E$5&lt;=$C9),1,"")</f>
        <v/>
      </c>
      <c r="F9" s="87" t="str">
        <f aca="false">IF(AND(F$5+6&gt;=$B9,F$5&lt;=$C9),1,"")</f>
        <v/>
      </c>
      <c r="G9" s="87" t="str">
        <f aca="false">IF(AND(G$5+6&gt;=$B9,G$5&lt;=$C9),1,"")</f>
        <v/>
      </c>
      <c r="H9" s="87" t="str">
        <f aca="false">IF(AND(H$5+6&gt;=$B9,H$5&lt;=$C9),1,"")</f>
        <v/>
      </c>
      <c r="I9" s="87" t="str">
        <f aca="false">IF(AND(I$5+6&gt;=$B9,I$5&lt;=$C9),1,"")</f>
        <v/>
      </c>
      <c r="J9" s="87" t="str">
        <f aca="false">IF(AND(J$5+6&gt;=$B9,J$5&lt;=$C9),1,"")</f>
        <v/>
      </c>
      <c r="K9" s="87" t="str">
        <f aca="false">IF(AND(K$5+6&gt;=$B9,K$5&lt;=$C9),1,"")</f>
        <v/>
      </c>
      <c r="L9" s="87" t="str">
        <f aca="false">IF(AND(L$5+6&gt;=$B9,L$5&lt;=$C9),1,"")</f>
        <v/>
      </c>
      <c r="M9" s="87" t="str">
        <f aca="false">IF(AND(M$5+6&gt;=$B9,M$5&lt;=$C9),1,"")</f>
        <v/>
      </c>
      <c r="N9" s="87" t="str">
        <f aca="false">IF(AND(N$5+6&gt;=$B9,N$5&lt;=$C9),1,"")</f>
        <v/>
      </c>
      <c r="O9" s="87" t="str">
        <f aca="false">IF(AND(O$5+6&gt;=$B9,O$5&lt;=$C9),1,"")</f>
        <v/>
      </c>
      <c r="P9" s="87" t="str">
        <f aca="false">IF(AND(P$5+6&gt;=$B9,P$5&lt;=$C9),1,"")</f>
        <v/>
      </c>
      <c r="Q9" s="87" t="str">
        <f aca="false">IF(AND(Q$5+6&gt;=$B9,Q$5&lt;=$C9),1,"")</f>
        <v/>
      </c>
      <c r="R9" s="87" t="str">
        <f aca="false">IF(AND(R$5+6&gt;=$B9,R$5&lt;=$C9),1,"")</f>
        <v/>
      </c>
      <c r="S9" s="87" t="str">
        <f aca="false">IF(AND(S$5+6&gt;=$B9,S$5&lt;=$C9),1,"")</f>
        <v/>
      </c>
      <c r="T9" s="87" t="str">
        <f aca="false">IF(AND(T$5+6&gt;=$B9,T$5&lt;=$C9),1,"")</f>
        <v/>
      </c>
      <c r="U9" s="87" t="str">
        <f aca="false">IF(AND(U$5+6&gt;=$B9,U$5&lt;=$C9),1,"")</f>
        <v/>
      </c>
      <c r="V9" s="87" t="n">
        <f aca="false">IF(AND(V$5+6&gt;=$B9,V$5&lt;=$C9),1,"")</f>
        <v>1</v>
      </c>
      <c r="W9" s="87" t="n">
        <f aca="false">IF(AND(W$5+6&gt;=$B9,W$5&lt;=$C9),1,"")</f>
        <v>1</v>
      </c>
      <c r="X9" s="87" t="n">
        <f aca="false">IF(AND(X$5+6&gt;=$B9,X$5&lt;=$C9),1,"")</f>
        <v>1</v>
      </c>
      <c r="Y9" s="87" t="n">
        <f aca="false">IF(AND(Y$5+6&gt;=$B9,Y$5&lt;=$C9),1,"")</f>
        <v>1</v>
      </c>
      <c r="Z9" s="87" t="n">
        <f aca="false">IF(AND(Z$5+6&gt;=$B9,Z$5&lt;=$C9),1,"")</f>
        <v>1</v>
      </c>
      <c r="AA9" s="87" t="n">
        <f aca="false">IF(AND(AA$5+6&gt;=$B9,AA$5&lt;=$C9),1,"")</f>
        <v>1</v>
      </c>
      <c r="AB9" s="87" t="n">
        <f aca="false">IF(AND(AB$5+6&gt;=$B9,AB$5&lt;=$C9),1,"")</f>
        <v>1</v>
      </c>
      <c r="AC9" s="87" t="n">
        <f aca="false">IF(AND(AC$5+6&gt;=$B9,AC$5&lt;=$C9),1,"")</f>
        <v>1</v>
      </c>
      <c r="AD9" s="87" t="n">
        <f aca="false">IF(AND(AD$5+6&gt;=$B9,AD$5&lt;=$C9),1,"")</f>
        <v>1</v>
      </c>
      <c r="AE9" s="87" t="n">
        <f aca="false">IF(AND(AE$5+6&gt;=$B9,AE$5&lt;=$C9),1,"")</f>
        <v>1</v>
      </c>
      <c r="AF9" s="87" t="n">
        <f aca="false">IF(AND(AF$5+6&gt;=$B9,AF$5&lt;=$C9),1,"")</f>
        <v>1</v>
      </c>
      <c r="AG9" s="87" t="n">
        <f aca="false">IF(AND(AG$5+6&gt;=$B9,AG$5&lt;=$C9),1,"")</f>
        <v>1</v>
      </c>
      <c r="AH9" s="87" t="n">
        <f aca="false">IF(AND(AH$5+6&gt;=$B9,AH$5&lt;=$C9),1,"")</f>
        <v>1</v>
      </c>
      <c r="AI9" s="87" t="n">
        <f aca="false">IF(AND(AI$5+6&gt;=$B9,AI$5&lt;=$C9),1,"")</f>
        <v>1</v>
      </c>
      <c r="AJ9" s="87" t="n">
        <f aca="false">IF(AND(AJ$5+6&gt;=$B9,AJ$5&lt;=$C9),1,"")</f>
        <v>1</v>
      </c>
      <c r="AK9" s="87" t="n">
        <f aca="false">IF(AND(AK$5+6&gt;=$B9,AK$5&lt;=$C9),1,"")</f>
        <v>1</v>
      </c>
      <c r="AL9" s="87" t="n">
        <f aca="false">IF(AND(AL$5+6&gt;=$B9,AL$5&lt;=$C9),1,"")</f>
        <v>1</v>
      </c>
      <c r="AM9" s="87" t="n">
        <f aca="false">IF(AND(AM$5+6&gt;=$B9,AM$5&lt;=$C9),1,"")</f>
        <v>1</v>
      </c>
      <c r="AN9" s="87" t="str">
        <f aca="false">IF(AND(AN$5+6&gt;=$B9,AN$5&lt;=$C9),1,"")</f>
        <v/>
      </c>
      <c r="AO9" s="87" t="str">
        <f aca="false">IF(AND(AO$5+6&gt;=$B9,AO$5&lt;=$C9),1,"")</f>
        <v/>
      </c>
      <c r="AP9" s="87" t="str">
        <f aca="false">IF(AND(AP$5+6&gt;=$B9,AP$5&lt;=$C9),1,"")</f>
        <v/>
      </c>
      <c r="AQ9" s="87" t="str">
        <f aca="false">IF(AND(AQ$5+6&gt;=$B9,AQ$5&lt;=$C9),1,"")</f>
        <v/>
      </c>
      <c r="AR9" s="87" t="str">
        <f aca="false">IF(AND(AR$5+6&gt;=$B9,AR$5&lt;=$C9),1,"")</f>
        <v/>
      </c>
      <c r="AS9" s="87" t="str">
        <f aca="false">IF(AND(AS$5+6&gt;=$B9,AS$5&lt;=$C9),1,"")</f>
        <v/>
      </c>
      <c r="AT9" s="87" t="str">
        <f aca="false">IF(AND(AT$5+6&gt;=$B9,AT$5&lt;=$C9),1,"")</f>
        <v/>
      </c>
      <c r="AU9" s="87" t="str">
        <f aca="false">IF(AND(AU$5+6&gt;=$B9,AU$5&lt;=$C9),1,"")</f>
        <v/>
      </c>
      <c r="AV9" s="87" t="str">
        <f aca="false">IF(AND(AV$5+6&gt;=$B9,AV$5&lt;=$C9),1,"")</f>
        <v/>
      </c>
      <c r="AW9" s="87" t="str">
        <f aca="false">IF(AND(AW$5+6&gt;=$B9,AW$5&lt;=$C9),1,"")</f>
        <v/>
      </c>
      <c r="AX9" s="87" t="str">
        <f aca="false">IF(AND(AX$5+6&gt;=$B9,AX$5&lt;=$C9),1,"")</f>
        <v/>
      </c>
      <c r="AY9" s="87" t="str">
        <f aca="false">IF(AND(AY$5+6&gt;=$B9,AY$5&lt;=$C9),1,"")</f>
        <v/>
      </c>
      <c r="AZ9" s="87" t="str">
        <f aca="false">IF(AND(AZ$5+6&gt;=$B9,AZ$5&lt;=$C9),1,"")</f>
        <v/>
      </c>
      <c r="BA9" s="87" t="str">
        <f aca="false">IF(AND(BA$5+6&gt;=$B9,BA$5&lt;=$C9),1,"")</f>
        <v/>
      </c>
      <c r="BB9" s="87" t="str">
        <f aca="false">IF(AND(BB$5+6&gt;=$B9,BB$5&lt;=$C9),1,"")</f>
        <v/>
      </c>
      <c r="BC9" s="87" t="str">
        <f aca="false">IF(AND(BC$5+6&gt;=$B9,BC$5&lt;=$C9),1,"")</f>
        <v/>
      </c>
      <c r="BD9" s="87" t="str">
        <f aca="false">IF(AND(BD$5+6&gt;=$B9,BD$5&lt;=$C9),1,"")</f>
        <v/>
      </c>
      <c r="BE9" s="87" t="str">
        <f aca="false">IF(AND(BE$5+6&gt;=$B9,BE$5&lt;=$C9),1,"")</f>
        <v/>
      </c>
      <c r="BF9" s="87" t="str">
        <f aca="false">IF(AND(BF$5+6&gt;=$B9,BF$5&lt;=$C9),1,"")</f>
        <v/>
      </c>
      <c r="BG9" s="87" t="str">
        <f aca="false">IF(AND(BG$5+6&gt;=$B9,BG$5&lt;=$C9),1,"")</f>
        <v/>
      </c>
      <c r="BH9" s="87" t="str">
        <f aca="false">IF(AND(BH$5+6&gt;=$B9,BH$5&lt;=$C9),1,"")</f>
        <v/>
      </c>
      <c r="BI9" s="87" t="str">
        <f aca="false">IF(AND(BI$5+6&gt;=$B9,BI$5&lt;=$C9),1,"")</f>
        <v/>
      </c>
      <c r="BJ9" s="87" t="str">
        <f aca="false">IF(AND(BJ$5+6&gt;=$B9,BJ$5&lt;=$C9),1,"")</f>
        <v/>
      </c>
      <c r="BK9" s="87" t="str">
        <f aca="false">IF(AND(BK$5+6&gt;=$B9,BK$5&lt;=$C9),1,"")</f>
        <v/>
      </c>
    </row>
    <row r="10" customFormat="false" ht="18" hidden="false" customHeight="true" outlineLevel="0" collapsed="false">
      <c r="A10" s="79" t="str">
        <f aca="false">Schedule!A8</f>
        <v>Alpha</v>
      </c>
      <c r="B10" s="86" t="n">
        <f aca="false">Schedule!C8</f>
        <v>46580</v>
      </c>
      <c r="C10" s="86" t="n">
        <f aca="false">Schedule!D8</f>
        <v>46621</v>
      </c>
      <c r="D10" s="87" t="str">
        <f aca="false">IF(AND(D$5+6&gt;=$B10,D$5&lt;=$C10),1,"")</f>
        <v/>
      </c>
      <c r="E10" s="87" t="str">
        <f aca="false">IF(AND(E$5+6&gt;=$B10,E$5&lt;=$C10),1,"")</f>
        <v/>
      </c>
      <c r="F10" s="87" t="str">
        <f aca="false">IF(AND(F$5+6&gt;=$B10,F$5&lt;=$C10),1,"")</f>
        <v/>
      </c>
      <c r="G10" s="87" t="str">
        <f aca="false">IF(AND(G$5+6&gt;=$B10,G$5&lt;=$C10),1,"")</f>
        <v/>
      </c>
      <c r="H10" s="87" t="str">
        <f aca="false">IF(AND(H$5+6&gt;=$B10,H$5&lt;=$C10),1,"")</f>
        <v/>
      </c>
      <c r="I10" s="87" t="str">
        <f aca="false">IF(AND(I$5+6&gt;=$B10,I$5&lt;=$C10),1,"")</f>
        <v/>
      </c>
      <c r="J10" s="87" t="str">
        <f aca="false">IF(AND(J$5+6&gt;=$B10,J$5&lt;=$C10),1,"")</f>
        <v/>
      </c>
      <c r="K10" s="87" t="str">
        <f aca="false">IF(AND(K$5+6&gt;=$B10,K$5&lt;=$C10),1,"")</f>
        <v/>
      </c>
      <c r="L10" s="87" t="str">
        <f aca="false">IF(AND(L$5+6&gt;=$B10,L$5&lt;=$C10),1,"")</f>
        <v/>
      </c>
      <c r="M10" s="87" t="str">
        <f aca="false">IF(AND(M$5+6&gt;=$B10,M$5&lt;=$C10),1,"")</f>
        <v/>
      </c>
      <c r="N10" s="87" t="str">
        <f aca="false">IF(AND(N$5+6&gt;=$B10,N$5&lt;=$C10),1,"")</f>
        <v/>
      </c>
      <c r="O10" s="87" t="str">
        <f aca="false">IF(AND(O$5+6&gt;=$B10,O$5&lt;=$C10),1,"")</f>
        <v/>
      </c>
      <c r="P10" s="87" t="str">
        <f aca="false">IF(AND(P$5+6&gt;=$B10,P$5&lt;=$C10),1,"")</f>
        <v/>
      </c>
      <c r="Q10" s="87" t="str">
        <f aca="false">IF(AND(Q$5+6&gt;=$B10,Q$5&lt;=$C10),1,"")</f>
        <v/>
      </c>
      <c r="R10" s="87" t="str">
        <f aca="false">IF(AND(R$5+6&gt;=$B10,R$5&lt;=$C10),1,"")</f>
        <v/>
      </c>
      <c r="S10" s="87" t="str">
        <f aca="false">IF(AND(S$5+6&gt;=$B10,S$5&lt;=$C10),1,"")</f>
        <v/>
      </c>
      <c r="T10" s="87" t="str">
        <f aca="false">IF(AND(T$5+6&gt;=$B10,T$5&lt;=$C10),1,"")</f>
        <v/>
      </c>
      <c r="U10" s="87" t="str">
        <f aca="false">IF(AND(U$5+6&gt;=$B10,U$5&lt;=$C10),1,"")</f>
        <v/>
      </c>
      <c r="V10" s="87" t="str">
        <f aca="false">IF(AND(V$5+6&gt;=$B10,V$5&lt;=$C10),1,"")</f>
        <v/>
      </c>
      <c r="W10" s="87" t="str">
        <f aca="false">IF(AND(W$5+6&gt;=$B10,W$5&lt;=$C10),1,"")</f>
        <v/>
      </c>
      <c r="X10" s="87" t="str">
        <f aca="false">IF(AND(X$5+6&gt;=$B10,X$5&lt;=$C10),1,"")</f>
        <v/>
      </c>
      <c r="Y10" s="87" t="str">
        <f aca="false">IF(AND(Y$5+6&gt;=$B10,Y$5&lt;=$C10),1,"")</f>
        <v/>
      </c>
      <c r="Z10" s="87" t="str">
        <f aca="false">IF(AND(Z$5+6&gt;=$B10,Z$5&lt;=$C10),1,"")</f>
        <v/>
      </c>
      <c r="AA10" s="87" t="str">
        <f aca="false">IF(AND(AA$5+6&gt;=$B10,AA$5&lt;=$C10),1,"")</f>
        <v/>
      </c>
      <c r="AB10" s="87" t="str">
        <f aca="false">IF(AND(AB$5+6&gt;=$B10,AB$5&lt;=$C10),1,"")</f>
        <v/>
      </c>
      <c r="AC10" s="87" t="str">
        <f aca="false">IF(AND(AC$5+6&gt;=$B10,AC$5&lt;=$C10),1,"")</f>
        <v/>
      </c>
      <c r="AD10" s="87" t="str">
        <f aca="false">IF(AND(AD$5+6&gt;=$B10,AD$5&lt;=$C10),1,"")</f>
        <v/>
      </c>
      <c r="AE10" s="87" t="str">
        <f aca="false">IF(AND(AE$5+6&gt;=$B10,AE$5&lt;=$C10),1,"")</f>
        <v/>
      </c>
      <c r="AF10" s="87" t="str">
        <f aca="false">IF(AND(AF$5+6&gt;=$B10,AF$5&lt;=$C10),1,"")</f>
        <v/>
      </c>
      <c r="AG10" s="87" t="str">
        <f aca="false">IF(AND(AG$5+6&gt;=$B10,AG$5&lt;=$C10),1,"")</f>
        <v/>
      </c>
      <c r="AH10" s="87" t="str">
        <f aca="false">IF(AND(AH$5+6&gt;=$B10,AH$5&lt;=$C10),1,"")</f>
        <v/>
      </c>
      <c r="AI10" s="87" t="str">
        <f aca="false">IF(AND(AI$5+6&gt;=$B10,AI$5&lt;=$C10),1,"")</f>
        <v/>
      </c>
      <c r="AJ10" s="87" t="str">
        <f aca="false">IF(AND(AJ$5+6&gt;=$B10,AJ$5&lt;=$C10),1,"")</f>
        <v/>
      </c>
      <c r="AK10" s="87" t="str">
        <f aca="false">IF(AND(AK$5+6&gt;=$B10,AK$5&lt;=$C10),1,"")</f>
        <v/>
      </c>
      <c r="AL10" s="87" t="str">
        <f aca="false">IF(AND(AL$5+6&gt;=$B10,AL$5&lt;=$C10),1,"")</f>
        <v/>
      </c>
      <c r="AM10" s="87" t="str">
        <f aca="false">IF(AND(AM$5+6&gt;=$B10,AM$5&lt;=$C10),1,"")</f>
        <v/>
      </c>
      <c r="AN10" s="87" t="n">
        <f aca="false">IF(AND(AN$5+6&gt;=$B10,AN$5&lt;=$C10),1,"")</f>
        <v>1</v>
      </c>
      <c r="AO10" s="87" t="n">
        <f aca="false">IF(AND(AO$5+6&gt;=$B10,AO$5&lt;=$C10),1,"")</f>
        <v>1</v>
      </c>
      <c r="AP10" s="87" t="n">
        <f aca="false">IF(AND(AP$5+6&gt;=$B10,AP$5&lt;=$C10),1,"")</f>
        <v>1</v>
      </c>
      <c r="AQ10" s="87" t="n">
        <f aca="false">IF(AND(AQ$5+6&gt;=$B10,AQ$5&lt;=$C10),1,"")</f>
        <v>1</v>
      </c>
      <c r="AR10" s="87" t="n">
        <f aca="false">IF(AND(AR$5+6&gt;=$B10,AR$5&lt;=$C10),1,"")</f>
        <v>1</v>
      </c>
      <c r="AS10" s="87" t="n">
        <f aca="false">IF(AND(AS$5+6&gt;=$B10,AS$5&lt;=$C10),1,"")</f>
        <v>1</v>
      </c>
      <c r="AT10" s="87" t="str">
        <f aca="false">IF(AND(AT$5+6&gt;=$B10,AT$5&lt;=$C10),1,"")</f>
        <v/>
      </c>
      <c r="AU10" s="87" t="str">
        <f aca="false">IF(AND(AU$5+6&gt;=$B10,AU$5&lt;=$C10),1,"")</f>
        <v/>
      </c>
      <c r="AV10" s="87" t="str">
        <f aca="false">IF(AND(AV$5+6&gt;=$B10,AV$5&lt;=$C10),1,"")</f>
        <v/>
      </c>
      <c r="AW10" s="87" t="str">
        <f aca="false">IF(AND(AW$5+6&gt;=$B10,AW$5&lt;=$C10),1,"")</f>
        <v/>
      </c>
      <c r="AX10" s="87" t="str">
        <f aca="false">IF(AND(AX$5+6&gt;=$B10,AX$5&lt;=$C10),1,"")</f>
        <v/>
      </c>
      <c r="AY10" s="87" t="str">
        <f aca="false">IF(AND(AY$5+6&gt;=$B10,AY$5&lt;=$C10),1,"")</f>
        <v/>
      </c>
      <c r="AZ10" s="87" t="str">
        <f aca="false">IF(AND(AZ$5+6&gt;=$B10,AZ$5&lt;=$C10),1,"")</f>
        <v/>
      </c>
      <c r="BA10" s="87" t="str">
        <f aca="false">IF(AND(BA$5+6&gt;=$B10,BA$5&lt;=$C10),1,"")</f>
        <v/>
      </c>
      <c r="BB10" s="87" t="str">
        <f aca="false">IF(AND(BB$5+6&gt;=$B10,BB$5&lt;=$C10),1,"")</f>
        <v/>
      </c>
      <c r="BC10" s="87" t="str">
        <f aca="false">IF(AND(BC$5+6&gt;=$B10,BC$5&lt;=$C10),1,"")</f>
        <v/>
      </c>
      <c r="BD10" s="87" t="str">
        <f aca="false">IF(AND(BD$5+6&gt;=$B10,BD$5&lt;=$C10),1,"")</f>
        <v/>
      </c>
      <c r="BE10" s="87" t="str">
        <f aca="false">IF(AND(BE$5+6&gt;=$B10,BE$5&lt;=$C10),1,"")</f>
        <v/>
      </c>
      <c r="BF10" s="87" t="str">
        <f aca="false">IF(AND(BF$5+6&gt;=$B10,BF$5&lt;=$C10),1,"")</f>
        <v/>
      </c>
      <c r="BG10" s="87" t="str">
        <f aca="false">IF(AND(BG$5+6&gt;=$B10,BG$5&lt;=$C10),1,"")</f>
        <v/>
      </c>
      <c r="BH10" s="87" t="str">
        <f aca="false">IF(AND(BH$5+6&gt;=$B10,BH$5&lt;=$C10),1,"")</f>
        <v/>
      </c>
      <c r="BI10" s="87" t="str">
        <f aca="false">IF(AND(BI$5+6&gt;=$B10,BI$5&lt;=$C10),1,"")</f>
        <v/>
      </c>
      <c r="BJ10" s="87" t="str">
        <f aca="false">IF(AND(BJ$5+6&gt;=$B10,BJ$5&lt;=$C10),1,"")</f>
        <v/>
      </c>
      <c r="BK10" s="87" t="str">
        <f aca="false">IF(AND(BK$5+6&gt;=$B10,BK$5&lt;=$C10),1,"")</f>
        <v/>
      </c>
    </row>
    <row r="11" customFormat="false" ht="18" hidden="false" customHeight="true" outlineLevel="0" collapsed="false">
      <c r="A11" s="79" t="str">
        <f aca="false">Schedule!A9</f>
        <v>Beta</v>
      </c>
      <c r="B11" s="86" t="n">
        <f aca="false">Schedule!C9</f>
        <v>46622</v>
      </c>
      <c r="C11" s="86" t="n">
        <f aca="false">Schedule!D9</f>
        <v>46663</v>
      </c>
      <c r="D11" s="87" t="str">
        <f aca="false">IF(AND(D$5+6&gt;=$B11,D$5&lt;=$C11),1,"")</f>
        <v/>
      </c>
      <c r="E11" s="87" t="str">
        <f aca="false">IF(AND(E$5+6&gt;=$B11,E$5&lt;=$C11),1,"")</f>
        <v/>
      </c>
      <c r="F11" s="87" t="str">
        <f aca="false">IF(AND(F$5+6&gt;=$B11,F$5&lt;=$C11),1,"")</f>
        <v/>
      </c>
      <c r="G11" s="87" t="str">
        <f aca="false">IF(AND(G$5+6&gt;=$B11,G$5&lt;=$C11),1,"")</f>
        <v/>
      </c>
      <c r="H11" s="87" t="str">
        <f aca="false">IF(AND(H$5+6&gt;=$B11,H$5&lt;=$C11),1,"")</f>
        <v/>
      </c>
      <c r="I11" s="87" t="str">
        <f aca="false">IF(AND(I$5+6&gt;=$B11,I$5&lt;=$C11),1,"")</f>
        <v/>
      </c>
      <c r="J11" s="87" t="str">
        <f aca="false">IF(AND(J$5+6&gt;=$B11,J$5&lt;=$C11),1,"")</f>
        <v/>
      </c>
      <c r="K11" s="87" t="str">
        <f aca="false">IF(AND(K$5+6&gt;=$B11,K$5&lt;=$C11),1,"")</f>
        <v/>
      </c>
      <c r="L11" s="87" t="str">
        <f aca="false">IF(AND(L$5+6&gt;=$B11,L$5&lt;=$C11),1,"")</f>
        <v/>
      </c>
      <c r="M11" s="87" t="str">
        <f aca="false">IF(AND(M$5+6&gt;=$B11,M$5&lt;=$C11),1,"")</f>
        <v/>
      </c>
      <c r="N11" s="87" t="str">
        <f aca="false">IF(AND(N$5+6&gt;=$B11,N$5&lt;=$C11),1,"")</f>
        <v/>
      </c>
      <c r="O11" s="87" t="str">
        <f aca="false">IF(AND(O$5+6&gt;=$B11,O$5&lt;=$C11),1,"")</f>
        <v/>
      </c>
      <c r="P11" s="87" t="str">
        <f aca="false">IF(AND(P$5+6&gt;=$B11,P$5&lt;=$C11),1,"")</f>
        <v/>
      </c>
      <c r="Q11" s="87" t="str">
        <f aca="false">IF(AND(Q$5+6&gt;=$B11,Q$5&lt;=$C11),1,"")</f>
        <v/>
      </c>
      <c r="R11" s="87" t="str">
        <f aca="false">IF(AND(R$5+6&gt;=$B11,R$5&lt;=$C11),1,"")</f>
        <v/>
      </c>
      <c r="S11" s="87" t="str">
        <f aca="false">IF(AND(S$5+6&gt;=$B11,S$5&lt;=$C11),1,"")</f>
        <v/>
      </c>
      <c r="T11" s="87" t="str">
        <f aca="false">IF(AND(T$5+6&gt;=$B11,T$5&lt;=$C11),1,"")</f>
        <v/>
      </c>
      <c r="U11" s="87" t="str">
        <f aca="false">IF(AND(U$5+6&gt;=$B11,U$5&lt;=$C11),1,"")</f>
        <v/>
      </c>
      <c r="V11" s="87" t="str">
        <f aca="false">IF(AND(V$5+6&gt;=$B11,V$5&lt;=$C11),1,"")</f>
        <v/>
      </c>
      <c r="W11" s="87" t="str">
        <f aca="false">IF(AND(W$5+6&gt;=$B11,W$5&lt;=$C11),1,"")</f>
        <v/>
      </c>
      <c r="X11" s="87" t="str">
        <f aca="false">IF(AND(X$5+6&gt;=$B11,X$5&lt;=$C11),1,"")</f>
        <v/>
      </c>
      <c r="Y11" s="87" t="str">
        <f aca="false">IF(AND(Y$5+6&gt;=$B11,Y$5&lt;=$C11),1,"")</f>
        <v/>
      </c>
      <c r="Z11" s="87" t="str">
        <f aca="false">IF(AND(Z$5+6&gt;=$B11,Z$5&lt;=$C11),1,"")</f>
        <v/>
      </c>
      <c r="AA11" s="87" t="str">
        <f aca="false">IF(AND(AA$5+6&gt;=$B11,AA$5&lt;=$C11),1,"")</f>
        <v/>
      </c>
      <c r="AB11" s="87" t="str">
        <f aca="false">IF(AND(AB$5+6&gt;=$B11,AB$5&lt;=$C11),1,"")</f>
        <v/>
      </c>
      <c r="AC11" s="87" t="str">
        <f aca="false">IF(AND(AC$5+6&gt;=$B11,AC$5&lt;=$C11),1,"")</f>
        <v/>
      </c>
      <c r="AD11" s="87" t="str">
        <f aca="false">IF(AND(AD$5+6&gt;=$B11,AD$5&lt;=$C11),1,"")</f>
        <v/>
      </c>
      <c r="AE11" s="87" t="str">
        <f aca="false">IF(AND(AE$5+6&gt;=$B11,AE$5&lt;=$C11),1,"")</f>
        <v/>
      </c>
      <c r="AF11" s="87" t="str">
        <f aca="false">IF(AND(AF$5+6&gt;=$B11,AF$5&lt;=$C11),1,"")</f>
        <v/>
      </c>
      <c r="AG11" s="87" t="str">
        <f aca="false">IF(AND(AG$5+6&gt;=$B11,AG$5&lt;=$C11),1,"")</f>
        <v/>
      </c>
      <c r="AH11" s="87" t="str">
        <f aca="false">IF(AND(AH$5+6&gt;=$B11,AH$5&lt;=$C11),1,"")</f>
        <v/>
      </c>
      <c r="AI11" s="87" t="str">
        <f aca="false">IF(AND(AI$5+6&gt;=$B11,AI$5&lt;=$C11),1,"")</f>
        <v/>
      </c>
      <c r="AJ11" s="87" t="str">
        <f aca="false">IF(AND(AJ$5+6&gt;=$B11,AJ$5&lt;=$C11),1,"")</f>
        <v/>
      </c>
      <c r="AK11" s="87" t="str">
        <f aca="false">IF(AND(AK$5+6&gt;=$B11,AK$5&lt;=$C11),1,"")</f>
        <v/>
      </c>
      <c r="AL11" s="87" t="str">
        <f aca="false">IF(AND(AL$5+6&gt;=$B11,AL$5&lt;=$C11),1,"")</f>
        <v/>
      </c>
      <c r="AM11" s="87" t="str">
        <f aca="false">IF(AND(AM$5+6&gt;=$B11,AM$5&lt;=$C11),1,"")</f>
        <v/>
      </c>
      <c r="AN11" s="87" t="str">
        <f aca="false">IF(AND(AN$5+6&gt;=$B11,AN$5&lt;=$C11),1,"")</f>
        <v/>
      </c>
      <c r="AO11" s="87" t="str">
        <f aca="false">IF(AND(AO$5+6&gt;=$B11,AO$5&lt;=$C11),1,"")</f>
        <v/>
      </c>
      <c r="AP11" s="87" t="str">
        <f aca="false">IF(AND(AP$5+6&gt;=$B11,AP$5&lt;=$C11),1,"")</f>
        <v/>
      </c>
      <c r="AQ11" s="87" t="str">
        <f aca="false">IF(AND(AQ$5+6&gt;=$B11,AQ$5&lt;=$C11),1,"")</f>
        <v/>
      </c>
      <c r="AR11" s="87" t="str">
        <f aca="false">IF(AND(AR$5+6&gt;=$B11,AR$5&lt;=$C11),1,"")</f>
        <v/>
      </c>
      <c r="AS11" s="87" t="str">
        <f aca="false">IF(AND(AS$5+6&gt;=$B11,AS$5&lt;=$C11),1,"")</f>
        <v/>
      </c>
      <c r="AT11" s="87" t="n">
        <f aca="false">IF(AND(AT$5+6&gt;=$B11,AT$5&lt;=$C11),1,"")</f>
        <v>1</v>
      </c>
      <c r="AU11" s="87" t="n">
        <f aca="false">IF(AND(AU$5+6&gt;=$B11,AU$5&lt;=$C11),1,"")</f>
        <v>1</v>
      </c>
      <c r="AV11" s="87" t="n">
        <f aca="false">IF(AND(AV$5+6&gt;=$B11,AV$5&lt;=$C11),1,"")</f>
        <v>1</v>
      </c>
      <c r="AW11" s="87" t="n">
        <f aca="false">IF(AND(AW$5+6&gt;=$B11,AW$5&lt;=$C11),1,"")</f>
        <v>1</v>
      </c>
      <c r="AX11" s="87" t="n">
        <f aca="false">IF(AND(AX$5+6&gt;=$B11,AX$5&lt;=$C11),1,"")</f>
        <v>1</v>
      </c>
      <c r="AY11" s="87" t="n">
        <f aca="false">IF(AND(AY$5+6&gt;=$B11,AY$5&lt;=$C11),1,"")</f>
        <v>1</v>
      </c>
      <c r="AZ11" s="87" t="str">
        <f aca="false">IF(AND(AZ$5+6&gt;=$B11,AZ$5&lt;=$C11),1,"")</f>
        <v/>
      </c>
      <c r="BA11" s="87" t="str">
        <f aca="false">IF(AND(BA$5+6&gt;=$B11,BA$5&lt;=$C11),1,"")</f>
        <v/>
      </c>
      <c r="BB11" s="87" t="str">
        <f aca="false">IF(AND(BB$5+6&gt;=$B11,BB$5&lt;=$C11),1,"")</f>
        <v/>
      </c>
      <c r="BC11" s="87" t="str">
        <f aca="false">IF(AND(BC$5+6&gt;=$B11,BC$5&lt;=$C11),1,"")</f>
        <v/>
      </c>
      <c r="BD11" s="87" t="str">
        <f aca="false">IF(AND(BD$5+6&gt;=$B11,BD$5&lt;=$C11),1,"")</f>
        <v/>
      </c>
      <c r="BE11" s="87" t="str">
        <f aca="false">IF(AND(BE$5+6&gt;=$B11,BE$5&lt;=$C11),1,"")</f>
        <v/>
      </c>
      <c r="BF11" s="87" t="str">
        <f aca="false">IF(AND(BF$5+6&gt;=$B11,BF$5&lt;=$C11),1,"")</f>
        <v/>
      </c>
      <c r="BG11" s="87" t="str">
        <f aca="false">IF(AND(BG$5+6&gt;=$B11,BG$5&lt;=$C11),1,"")</f>
        <v/>
      </c>
      <c r="BH11" s="87" t="str">
        <f aca="false">IF(AND(BH$5+6&gt;=$B11,BH$5&lt;=$C11),1,"")</f>
        <v/>
      </c>
      <c r="BI11" s="87" t="str">
        <f aca="false">IF(AND(BI$5+6&gt;=$B11,BI$5&lt;=$C11),1,"")</f>
        <v/>
      </c>
      <c r="BJ11" s="87" t="str">
        <f aca="false">IF(AND(BJ$5+6&gt;=$B11,BJ$5&lt;=$C11),1,"")</f>
        <v/>
      </c>
      <c r="BK11" s="87" t="str">
        <f aca="false">IF(AND(BK$5+6&gt;=$B11,BK$5&lt;=$C11),1,"")</f>
        <v/>
      </c>
    </row>
    <row r="12" customFormat="false" ht="18" hidden="false" customHeight="true" outlineLevel="0" collapsed="false">
      <c r="A12" s="79" t="str">
        <f aca="false">Schedule!A10</f>
        <v>Polish and ship</v>
      </c>
      <c r="B12" s="86" t="n">
        <f aca="false">Schedule!C10</f>
        <v>46664</v>
      </c>
      <c r="C12" s="86" t="n">
        <f aca="false">Schedule!D10</f>
        <v>46691</v>
      </c>
      <c r="D12" s="87" t="str">
        <f aca="false">IF(AND(D$5+6&gt;=$B12,D$5&lt;=$C12),1,"")</f>
        <v/>
      </c>
      <c r="E12" s="87" t="str">
        <f aca="false">IF(AND(E$5+6&gt;=$B12,E$5&lt;=$C12),1,"")</f>
        <v/>
      </c>
      <c r="F12" s="87" t="str">
        <f aca="false">IF(AND(F$5+6&gt;=$B12,F$5&lt;=$C12),1,"")</f>
        <v/>
      </c>
      <c r="G12" s="87" t="str">
        <f aca="false">IF(AND(G$5+6&gt;=$B12,G$5&lt;=$C12),1,"")</f>
        <v/>
      </c>
      <c r="H12" s="87" t="str">
        <f aca="false">IF(AND(H$5+6&gt;=$B12,H$5&lt;=$C12),1,"")</f>
        <v/>
      </c>
      <c r="I12" s="87" t="str">
        <f aca="false">IF(AND(I$5+6&gt;=$B12,I$5&lt;=$C12),1,"")</f>
        <v/>
      </c>
      <c r="J12" s="87" t="str">
        <f aca="false">IF(AND(J$5+6&gt;=$B12,J$5&lt;=$C12),1,"")</f>
        <v/>
      </c>
      <c r="K12" s="87" t="str">
        <f aca="false">IF(AND(K$5+6&gt;=$B12,K$5&lt;=$C12),1,"")</f>
        <v/>
      </c>
      <c r="L12" s="87" t="str">
        <f aca="false">IF(AND(L$5+6&gt;=$B12,L$5&lt;=$C12),1,"")</f>
        <v/>
      </c>
      <c r="M12" s="87" t="str">
        <f aca="false">IF(AND(M$5+6&gt;=$B12,M$5&lt;=$C12),1,"")</f>
        <v/>
      </c>
      <c r="N12" s="87" t="str">
        <f aca="false">IF(AND(N$5+6&gt;=$B12,N$5&lt;=$C12),1,"")</f>
        <v/>
      </c>
      <c r="O12" s="87" t="str">
        <f aca="false">IF(AND(O$5+6&gt;=$B12,O$5&lt;=$C12),1,"")</f>
        <v/>
      </c>
      <c r="P12" s="87" t="str">
        <f aca="false">IF(AND(P$5+6&gt;=$B12,P$5&lt;=$C12),1,"")</f>
        <v/>
      </c>
      <c r="Q12" s="87" t="str">
        <f aca="false">IF(AND(Q$5+6&gt;=$B12,Q$5&lt;=$C12),1,"")</f>
        <v/>
      </c>
      <c r="R12" s="87" t="str">
        <f aca="false">IF(AND(R$5+6&gt;=$B12,R$5&lt;=$C12),1,"")</f>
        <v/>
      </c>
      <c r="S12" s="87" t="str">
        <f aca="false">IF(AND(S$5+6&gt;=$B12,S$5&lt;=$C12),1,"")</f>
        <v/>
      </c>
      <c r="T12" s="87" t="str">
        <f aca="false">IF(AND(T$5+6&gt;=$B12,T$5&lt;=$C12),1,"")</f>
        <v/>
      </c>
      <c r="U12" s="87" t="str">
        <f aca="false">IF(AND(U$5+6&gt;=$B12,U$5&lt;=$C12),1,"")</f>
        <v/>
      </c>
      <c r="V12" s="87" t="str">
        <f aca="false">IF(AND(V$5+6&gt;=$B12,V$5&lt;=$C12),1,"")</f>
        <v/>
      </c>
      <c r="W12" s="87" t="str">
        <f aca="false">IF(AND(W$5+6&gt;=$B12,W$5&lt;=$C12),1,"")</f>
        <v/>
      </c>
      <c r="X12" s="87" t="str">
        <f aca="false">IF(AND(X$5+6&gt;=$B12,X$5&lt;=$C12),1,"")</f>
        <v/>
      </c>
      <c r="Y12" s="87" t="str">
        <f aca="false">IF(AND(Y$5+6&gt;=$B12,Y$5&lt;=$C12),1,"")</f>
        <v/>
      </c>
      <c r="Z12" s="87" t="str">
        <f aca="false">IF(AND(Z$5+6&gt;=$B12,Z$5&lt;=$C12),1,"")</f>
        <v/>
      </c>
      <c r="AA12" s="87" t="str">
        <f aca="false">IF(AND(AA$5+6&gt;=$B12,AA$5&lt;=$C12),1,"")</f>
        <v/>
      </c>
      <c r="AB12" s="87" t="str">
        <f aca="false">IF(AND(AB$5+6&gt;=$B12,AB$5&lt;=$C12),1,"")</f>
        <v/>
      </c>
      <c r="AC12" s="87" t="str">
        <f aca="false">IF(AND(AC$5+6&gt;=$B12,AC$5&lt;=$C12),1,"")</f>
        <v/>
      </c>
      <c r="AD12" s="87" t="str">
        <f aca="false">IF(AND(AD$5+6&gt;=$B12,AD$5&lt;=$C12),1,"")</f>
        <v/>
      </c>
      <c r="AE12" s="87" t="str">
        <f aca="false">IF(AND(AE$5+6&gt;=$B12,AE$5&lt;=$C12),1,"")</f>
        <v/>
      </c>
      <c r="AF12" s="87" t="str">
        <f aca="false">IF(AND(AF$5+6&gt;=$B12,AF$5&lt;=$C12),1,"")</f>
        <v/>
      </c>
      <c r="AG12" s="87" t="str">
        <f aca="false">IF(AND(AG$5+6&gt;=$B12,AG$5&lt;=$C12),1,"")</f>
        <v/>
      </c>
      <c r="AH12" s="87" t="str">
        <f aca="false">IF(AND(AH$5+6&gt;=$B12,AH$5&lt;=$C12),1,"")</f>
        <v/>
      </c>
      <c r="AI12" s="87" t="str">
        <f aca="false">IF(AND(AI$5+6&gt;=$B12,AI$5&lt;=$C12),1,"")</f>
        <v/>
      </c>
      <c r="AJ12" s="87" t="str">
        <f aca="false">IF(AND(AJ$5+6&gt;=$B12,AJ$5&lt;=$C12),1,"")</f>
        <v/>
      </c>
      <c r="AK12" s="87" t="str">
        <f aca="false">IF(AND(AK$5+6&gt;=$B12,AK$5&lt;=$C12),1,"")</f>
        <v/>
      </c>
      <c r="AL12" s="87" t="str">
        <f aca="false">IF(AND(AL$5+6&gt;=$B12,AL$5&lt;=$C12),1,"")</f>
        <v/>
      </c>
      <c r="AM12" s="87" t="str">
        <f aca="false">IF(AND(AM$5+6&gt;=$B12,AM$5&lt;=$C12),1,"")</f>
        <v/>
      </c>
      <c r="AN12" s="87" t="str">
        <f aca="false">IF(AND(AN$5+6&gt;=$B12,AN$5&lt;=$C12),1,"")</f>
        <v/>
      </c>
      <c r="AO12" s="87" t="str">
        <f aca="false">IF(AND(AO$5+6&gt;=$B12,AO$5&lt;=$C12),1,"")</f>
        <v/>
      </c>
      <c r="AP12" s="87" t="str">
        <f aca="false">IF(AND(AP$5+6&gt;=$B12,AP$5&lt;=$C12),1,"")</f>
        <v/>
      </c>
      <c r="AQ12" s="87" t="str">
        <f aca="false">IF(AND(AQ$5+6&gt;=$B12,AQ$5&lt;=$C12),1,"")</f>
        <v/>
      </c>
      <c r="AR12" s="87" t="str">
        <f aca="false">IF(AND(AR$5+6&gt;=$B12,AR$5&lt;=$C12),1,"")</f>
        <v/>
      </c>
      <c r="AS12" s="87" t="str">
        <f aca="false">IF(AND(AS$5+6&gt;=$B12,AS$5&lt;=$C12),1,"")</f>
        <v/>
      </c>
      <c r="AT12" s="87" t="str">
        <f aca="false">IF(AND(AT$5+6&gt;=$B12,AT$5&lt;=$C12),1,"")</f>
        <v/>
      </c>
      <c r="AU12" s="87" t="str">
        <f aca="false">IF(AND(AU$5+6&gt;=$B12,AU$5&lt;=$C12),1,"")</f>
        <v/>
      </c>
      <c r="AV12" s="87" t="str">
        <f aca="false">IF(AND(AV$5+6&gt;=$B12,AV$5&lt;=$C12),1,"")</f>
        <v/>
      </c>
      <c r="AW12" s="87" t="str">
        <f aca="false">IF(AND(AW$5+6&gt;=$B12,AW$5&lt;=$C12),1,"")</f>
        <v/>
      </c>
      <c r="AX12" s="87" t="str">
        <f aca="false">IF(AND(AX$5+6&gt;=$B12,AX$5&lt;=$C12),1,"")</f>
        <v/>
      </c>
      <c r="AY12" s="87" t="str">
        <f aca="false">IF(AND(AY$5+6&gt;=$B12,AY$5&lt;=$C12),1,"")</f>
        <v/>
      </c>
      <c r="AZ12" s="87" t="n">
        <f aca="false">IF(AND(AZ$5+6&gt;=$B12,AZ$5&lt;=$C12),1,"")</f>
        <v>1</v>
      </c>
      <c r="BA12" s="87" t="n">
        <f aca="false">IF(AND(BA$5+6&gt;=$B12,BA$5&lt;=$C12),1,"")</f>
        <v>1</v>
      </c>
      <c r="BB12" s="87" t="n">
        <f aca="false">IF(AND(BB$5+6&gt;=$B12,BB$5&lt;=$C12),1,"")</f>
        <v>1</v>
      </c>
      <c r="BC12" s="87" t="n">
        <f aca="false">IF(AND(BC$5+6&gt;=$B12,BC$5&lt;=$C12),1,"")</f>
        <v>1</v>
      </c>
      <c r="BD12" s="87" t="str">
        <f aca="false">IF(AND(BD$5+6&gt;=$B12,BD$5&lt;=$C12),1,"")</f>
        <v/>
      </c>
      <c r="BE12" s="87" t="str">
        <f aca="false">IF(AND(BE$5+6&gt;=$B12,BE$5&lt;=$C12),1,"")</f>
        <v/>
      </c>
      <c r="BF12" s="87" t="str">
        <f aca="false">IF(AND(BF$5+6&gt;=$B12,BF$5&lt;=$C12),1,"")</f>
        <v/>
      </c>
      <c r="BG12" s="87" t="str">
        <f aca="false">IF(AND(BG$5+6&gt;=$B12,BG$5&lt;=$C12),1,"")</f>
        <v/>
      </c>
      <c r="BH12" s="87" t="str">
        <f aca="false">IF(AND(BH$5+6&gt;=$B12,BH$5&lt;=$C12),1,"")</f>
        <v/>
      </c>
      <c r="BI12" s="87" t="str">
        <f aca="false">IF(AND(BI$5+6&gt;=$B12,BI$5&lt;=$C12),1,"")</f>
        <v/>
      </c>
      <c r="BJ12" s="87" t="str">
        <f aca="false">IF(AND(BJ$5+6&gt;=$B12,BJ$5&lt;=$C12),1,"")</f>
        <v/>
      </c>
      <c r="BK12" s="87" t="str">
        <f aca="false">IF(AND(BK$5+6&gt;=$B12,BK$5&lt;=$C12),1,"")</f>
        <v/>
      </c>
    </row>
    <row r="13" customFormat="false" ht="15" hidden="false" customHeight="true" outlineLevel="0" collapsed="false">
      <c r="A13" s="4" t="s">
        <v>868</v>
      </c>
      <c r="B13" s="4"/>
      <c r="C13" s="4"/>
      <c r="D13" s="88" t="str">
        <f aca="false">IF(SUMPRODUCT((Milestones!$B$5:$B$10&gt;=D$5)*(Milestones!$B$5:$B$10&lt;=D$5+6))&gt;0,"◆","")</f>
        <v/>
      </c>
      <c r="E13" s="88" t="str">
        <f aca="false">IF(SUMPRODUCT((Milestones!$B$5:$B$10&gt;=E$5)*(Milestones!$B$5:$B$10&lt;=E$5+6))&gt;0,"◆","")</f>
        <v/>
      </c>
      <c r="F13" s="88" t="str">
        <f aca="false">IF(SUMPRODUCT((Milestones!$B$5:$B$10&gt;=F$5)*(Milestones!$B$5:$B$10&lt;=F$5+6))&gt;0,"◆","")</f>
        <v/>
      </c>
      <c r="G13" s="88" t="str">
        <f aca="false">IF(SUMPRODUCT((Milestones!$B$5:$B$10&gt;=G$5)*(Milestones!$B$5:$B$10&lt;=G$5+6))&gt;0,"◆","")</f>
        <v/>
      </c>
      <c r="H13" s="88" t="str">
        <f aca="false">IF(SUMPRODUCT((Milestones!$B$5:$B$10&gt;=H$5)*(Milestones!$B$5:$B$10&lt;=H$5+6))&gt;0,"◆","")</f>
        <v/>
      </c>
      <c r="I13" s="88" t="str">
        <f aca="false">IF(SUMPRODUCT((Milestones!$B$5:$B$10&gt;=I$5)*(Milestones!$B$5:$B$10&lt;=I$5+6))&gt;0,"◆","")</f>
        <v/>
      </c>
      <c r="J13" s="88" t="str">
        <f aca="false">IF(SUMPRODUCT((Milestones!$B$5:$B$10&gt;=J$5)*(Milestones!$B$5:$B$10&lt;=J$5+6))&gt;0,"◆","")</f>
        <v/>
      </c>
      <c r="K13" s="88" t="str">
        <f aca="false">IF(SUMPRODUCT((Milestones!$B$5:$B$10&gt;=K$5)*(Milestones!$B$5:$B$10&lt;=K$5+6))&gt;0,"◆","")</f>
        <v>◆</v>
      </c>
      <c r="L13" s="88" t="str">
        <f aca="false">IF(SUMPRODUCT((Milestones!$B$5:$B$10&gt;=L$5)*(Milestones!$B$5:$B$10&lt;=L$5+6))&gt;0,"◆","")</f>
        <v/>
      </c>
      <c r="M13" s="88" t="str">
        <f aca="false">IF(SUMPRODUCT((Milestones!$B$5:$B$10&gt;=M$5)*(Milestones!$B$5:$B$10&lt;=M$5+6))&gt;0,"◆","")</f>
        <v/>
      </c>
      <c r="N13" s="88" t="str">
        <f aca="false">IF(SUMPRODUCT((Milestones!$B$5:$B$10&gt;=N$5)*(Milestones!$B$5:$B$10&lt;=N$5+6))&gt;0,"◆","")</f>
        <v/>
      </c>
      <c r="O13" s="88" t="str">
        <f aca="false">IF(SUMPRODUCT((Milestones!$B$5:$B$10&gt;=O$5)*(Milestones!$B$5:$B$10&lt;=O$5+6))&gt;0,"◆","")</f>
        <v/>
      </c>
      <c r="P13" s="88" t="str">
        <f aca="false">IF(SUMPRODUCT((Milestones!$B$5:$B$10&gt;=P$5)*(Milestones!$B$5:$B$10&lt;=P$5+6))&gt;0,"◆","")</f>
        <v/>
      </c>
      <c r="Q13" s="88" t="str">
        <f aca="false">IF(SUMPRODUCT((Milestones!$B$5:$B$10&gt;=Q$5)*(Milestones!$B$5:$B$10&lt;=Q$5+6))&gt;0,"◆","")</f>
        <v/>
      </c>
      <c r="R13" s="88" t="str">
        <f aca="false">IF(SUMPRODUCT((Milestones!$B$5:$B$10&gt;=R$5)*(Milestones!$B$5:$B$10&lt;=R$5+6))&gt;0,"◆","")</f>
        <v/>
      </c>
      <c r="S13" s="88" t="str">
        <f aca="false">IF(SUMPRODUCT((Milestones!$B$5:$B$10&gt;=S$5)*(Milestones!$B$5:$B$10&lt;=S$5+6))&gt;0,"◆","")</f>
        <v/>
      </c>
      <c r="T13" s="88" t="str">
        <f aca="false">IF(SUMPRODUCT((Milestones!$B$5:$B$10&gt;=T$5)*(Milestones!$B$5:$B$10&lt;=T$5+6))&gt;0,"◆","")</f>
        <v/>
      </c>
      <c r="U13" s="88" t="str">
        <f aca="false">IF(SUMPRODUCT((Milestones!$B$5:$B$10&gt;=U$5)*(Milestones!$B$5:$B$10&lt;=U$5+6))&gt;0,"◆","")</f>
        <v>◆</v>
      </c>
      <c r="V13" s="88" t="str">
        <f aca="false">IF(SUMPRODUCT((Milestones!$B$5:$B$10&gt;=V$5)*(Milestones!$B$5:$B$10&lt;=V$5+6))&gt;0,"◆","")</f>
        <v/>
      </c>
      <c r="W13" s="88" t="str">
        <f aca="false">IF(SUMPRODUCT((Milestones!$B$5:$B$10&gt;=W$5)*(Milestones!$B$5:$B$10&lt;=W$5+6))&gt;0,"◆","")</f>
        <v/>
      </c>
      <c r="X13" s="88" t="str">
        <f aca="false">IF(SUMPRODUCT((Milestones!$B$5:$B$10&gt;=X$5)*(Milestones!$B$5:$B$10&lt;=X$5+6))&gt;0,"◆","")</f>
        <v/>
      </c>
      <c r="Y13" s="88" t="str">
        <f aca="false">IF(SUMPRODUCT((Milestones!$B$5:$B$10&gt;=Y$5)*(Milestones!$B$5:$B$10&lt;=Y$5+6))&gt;0,"◆","")</f>
        <v/>
      </c>
      <c r="Z13" s="88" t="str">
        <f aca="false">IF(SUMPRODUCT((Milestones!$B$5:$B$10&gt;=Z$5)*(Milestones!$B$5:$B$10&lt;=Z$5+6))&gt;0,"◆","")</f>
        <v/>
      </c>
      <c r="AA13" s="88" t="str">
        <f aca="false">IF(SUMPRODUCT((Milestones!$B$5:$B$10&gt;=AA$5)*(Milestones!$B$5:$B$10&lt;=AA$5+6))&gt;0,"◆","")</f>
        <v/>
      </c>
      <c r="AB13" s="88" t="str">
        <f aca="false">IF(SUMPRODUCT((Milestones!$B$5:$B$10&gt;=AB$5)*(Milestones!$B$5:$B$10&lt;=AB$5+6))&gt;0,"◆","")</f>
        <v/>
      </c>
      <c r="AC13" s="88" t="str">
        <f aca="false">IF(SUMPRODUCT((Milestones!$B$5:$B$10&gt;=AC$5)*(Milestones!$B$5:$B$10&lt;=AC$5+6))&gt;0,"◆","")</f>
        <v/>
      </c>
      <c r="AD13" s="88" t="str">
        <f aca="false">IF(SUMPRODUCT((Milestones!$B$5:$B$10&gt;=AD$5)*(Milestones!$B$5:$B$10&lt;=AD$5+6))&gt;0,"◆","")</f>
        <v/>
      </c>
      <c r="AE13" s="88" t="str">
        <f aca="false">IF(SUMPRODUCT((Milestones!$B$5:$B$10&gt;=AE$5)*(Milestones!$B$5:$B$10&lt;=AE$5+6))&gt;0,"◆","")</f>
        <v/>
      </c>
      <c r="AF13" s="88" t="str">
        <f aca="false">IF(SUMPRODUCT((Milestones!$B$5:$B$10&gt;=AF$5)*(Milestones!$B$5:$B$10&lt;=AF$5+6))&gt;0,"◆","")</f>
        <v/>
      </c>
      <c r="AG13" s="88" t="str">
        <f aca="false">IF(SUMPRODUCT((Milestones!$B$5:$B$10&gt;=AG$5)*(Milestones!$B$5:$B$10&lt;=AG$5+6))&gt;0,"◆","")</f>
        <v/>
      </c>
      <c r="AH13" s="88" t="str">
        <f aca="false">IF(SUMPRODUCT((Milestones!$B$5:$B$10&gt;=AH$5)*(Milestones!$B$5:$B$10&lt;=AH$5+6))&gt;0,"◆","")</f>
        <v/>
      </c>
      <c r="AI13" s="88" t="str">
        <f aca="false">IF(SUMPRODUCT((Milestones!$B$5:$B$10&gt;=AI$5)*(Milestones!$B$5:$B$10&lt;=AI$5+6))&gt;0,"◆","")</f>
        <v/>
      </c>
      <c r="AJ13" s="88" t="str">
        <f aca="false">IF(SUMPRODUCT((Milestones!$B$5:$B$10&gt;=AJ$5)*(Milestones!$B$5:$B$10&lt;=AJ$5+6))&gt;0,"◆","")</f>
        <v/>
      </c>
      <c r="AK13" s="88" t="str">
        <f aca="false">IF(SUMPRODUCT((Milestones!$B$5:$B$10&gt;=AK$5)*(Milestones!$B$5:$B$10&lt;=AK$5+6))&gt;0,"◆","")</f>
        <v/>
      </c>
      <c r="AL13" s="88" t="str">
        <f aca="false">IF(SUMPRODUCT((Milestones!$B$5:$B$10&gt;=AL$5)*(Milestones!$B$5:$B$10&lt;=AL$5+6))&gt;0,"◆","")</f>
        <v/>
      </c>
      <c r="AM13" s="88" t="str">
        <f aca="false">IF(SUMPRODUCT((Milestones!$B$5:$B$10&gt;=AM$5)*(Milestones!$B$5:$B$10&lt;=AM$5+6))&gt;0,"◆","")</f>
        <v>◆</v>
      </c>
      <c r="AN13" s="88" t="str">
        <f aca="false">IF(SUMPRODUCT((Milestones!$B$5:$B$10&gt;=AN$5)*(Milestones!$B$5:$B$10&lt;=AN$5+6))&gt;0,"◆","")</f>
        <v/>
      </c>
      <c r="AO13" s="88" t="str">
        <f aca="false">IF(SUMPRODUCT((Milestones!$B$5:$B$10&gt;=AO$5)*(Milestones!$B$5:$B$10&lt;=AO$5+6))&gt;0,"◆","")</f>
        <v/>
      </c>
      <c r="AP13" s="88" t="str">
        <f aca="false">IF(SUMPRODUCT((Milestones!$B$5:$B$10&gt;=AP$5)*(Milestones!$B$5:$B$10&lt;=AP$5+6))&gt;0,"◆","")</f>
        <v/>
      </c>
      <c r="AQ13" s="88" t="str">
        <f aca="false">IF(SUMPRODUCT((Milestones!$B$5:$B$10&gt;=AQ$5)*(Milestones!$B$5:$B$10&lt;=AQ$5+6))&gt;0,"◆","")</f>
        <v/>
      </c>
      <c r="AR13" s="88" t="str">
        <f aca="false">IF(SUMPRODUCT((Milestones!$B$5:$B$10&gt;=AR$5)*(Milestones!$B$5:$B$10&lt;=AR$5+6))&gt;0,"◆","")</f>
        <v/>
      </c>
      <c r="AS13" s="88" t="str">
        <f aca="false">IF(SUMPRODUCT((Milestones!$B$5:$B$10&gt;=AS$5)*(Milestones!$B$5:$B$10&lt;=AS$5+6))&gt;0,"◆","")</f>
        <v>◆</v>
      </c>
      <c r="AT13" s="88" t="str">
        <f aca="false">IF(SUMPRODUCT((Milestones!$B$5:$B$10&gt;=AT$5)*(Milestones!$B$5:$B$10&lt;=AT$5+6))&gt;0,"◆","")</f>
        <v/>
      </c>
      <c r="AU13" s="88" t="str">
        <f aca="false">IF(SUMPRODUCT((Milestones!$B$5:$B$10&gt;=AU$5)*(Milestones!$B$5:$B$10&lt;=AU$5+6))&gt;0,"◆","")</f>
        <v/>
      </c>
      <c r="AV13" s="88" t="str">
        <f aca="false">IF(SUMPRODUCT((Milestones!$B$5:$B$10&gt;=AV$5)*(Milestones!$B$5:$B$10&lt;=AV$5+6))&gt;0,"◆","")</f>
        <v/>
      </c>
      <c r="AW13" s="88" t="str">
        <f aca="false">IF(SUMPRODUCT((Milestones!$B$5:$B$10&gt;=AW$5)*(Milestones!$B$5:$B$10&lt;=AW$5+6))&gt;0,"◆","")</f>
        <v/>
      </c>
      <c r="AX13" s="88" t="str">
        <f aca="false">IF(SUMPRODUCT((Milestones!$B$5:$B$10&gt;=AX$5)*(Milestones!$B$5:$B$10&lt;=AX$5+6))&gt;0,"◆","")</f>
        <v/>
      </c>
      <c r="AY13" s="88" t="str">
        <f aca="false">IF(SUMPRODUCT((Milestones!$B$5:$B$10&gt;=AY$5)*(Milestones!$B$5:$B$10&lt;=AY$5+6))&gt;0,"◆","")</f>
        <v>◆</v>
      </c>
      <c r="AZ13" s="88" t="str">
        <f aca="false">IF(SUMPRODUCT((Milestones!$B$5:$B$10&gt;=AZ$5)*(Milestones!$B$5:$B$10&lt;=AZ$5+6))&gt;0,"◆","")</f>
        <v/>
      </c>
      <c r="BA13" s="88" t="str">
        <f aca="false">IF(SUMPRODUCT((Milestones!$B$5:$B$10&gt;=BA$5)*(Milestones!$B$5:$B$10&lt;=BA$5+6))&gt;0,"◆","")</f>
        <v/>
      </c>
      <c r="BB13" s="88" t="str">
        <f aca="false">IF(SUMPRODUCT((Milestones!$B$5:$B$10&gt;=BB$5)*(Milestones!$B$5:$B$10&lt;=BB$5+6))&gt;0,"◆","")</f>
        <v/>
      </c>
      <c r="BC13" s="88" t="str">
        <f aca="false">IF(SUMPRODUCT((Milestones!$B$5:$B$10&gt;=BC$5)*(Milestones!$B$5:$B$10&lt;=BC$5+6))&gt;0,"◆","")</f>
        <v>◆</v>
      </c>
      <c r="BD13" s="88" t="str">
        <f aca="false">IF(SUMPRODUCT((Milestones!$B$5:$B$10&gt;=BD$5)*(Milestones!$B$5:$B$10&lt;=BD$5+6))&gt;0,"◆","")</f>
        <v/>
      </c>
      <c r="BE13" s="88" t="str">
        <f aca="false">IF(SUMPRODUCT((Milestones!$B$5:$B$10&gt;=BE$5)*(Milestones!$B$5:$B$10&lt;=BE$5+6))&gt;0,"◆","")</f>
        <v/>
      </c>
      <c r="BF13" s="88" t="str">
        <f aca="false">IF(SUMPRODUCT((Milestones!$B$5:$B$10&gt;=BF$5)*(Milestones!$B$5:$B$10&lt;=BF$5+6))&gt;0,"◆","")</f>
        <v/>
      </c>
      <c r="BG13" s="88" t="str">
        <f aca="false">IF(SUMPRODUCT((Milestones!$B$5:$B$10&gt;=BG$5)*(Milestones!$B$5:$B$10&lt;=BG$5+6))&gt;0,"◆","")</f>
        <v/>
      </c>
      <c r="BH13" s="88" t="str">
        <f aca="false">IF(SUMPRODUCT((Milestones!$B$5:$B$10&gt;=BH$5)*(Milestones!$B$5:$B$10&lt;=BH$5+6))&gt;0,"◆","")</f>
        <v/>
      </c>
      <c r="BI13" s="88" t="str">
        <f aca="false">IF(SUMPRODUCT((Milestones!$B$5:$B$10&gt;=BI$5)*(Milestones!$B$5:$B$10&lt;=BI$5+6))&gt;0,"◆","")</f>
        <v/>
      </c>
      <c r="BJ13" s="88" t="str">
        <f aca="false">IF(SUMPRODUCT((Milestones!$B$5:$B$10&gt;=BJ$5)*(Milestones!$B$5:$B$10&lt;=BJ$5+6))&gt;0,"◆","")</f>
        <v/>
      </c>
      <c r="BK13" s="88" t="str">
        <f aca="false">IF(SUMPRODUCT((Milestones!$B$5:$B$10&gt;=BK$5)*(Milestones!$B$5:$B$10&lt;=BK$5+6))&gt;0,"◆","")</f>
        <v/>
      </c>
    </row>
    <row r="14" customFormat="false" ht="15" hidden="false" customHeight="true" outlineLevel="0" collapsed="false">
      <c r="A14" s="4" t="s">
        <v>869</v>
      </c>
      <c r="B14" s="4"/>
      <c r="C14" s="4"/>
      <c r="D14" s="88" t="str">
        <f aca="true">IF(AND(TODAY()&gt;=D$5,TODAY()&lt;=D$5+6),"▲","")</f>
        <v/>
      </c>
      <c r="E14" s="88" t="str">
        <f aca="true">IF(AND(TODAY()&gt;=E$5,TODAY()&lt;=E$5+6),"▲","")</f>
        <v/>
      </c>
      <c r="F14" s="88" t="str">
        <f aca="true">IF(AND(TODAY()&gt;=F$5,TODAY()&lt;=F$5+6),"▲","")</f>
        <v/>
      </c>
      <c r="G14" s="88" t="str">
        <f aca="true">IF(AND(TODAY()&gt;=G$5,TODAY()&lt;=G$5+6),"▲","")</f>
        <v/>
      </c>
      <c r="H14" s="88" t="str">
        <f aca="true">IF(AND(TODAY()&gt;=H$5,TODAY()&lt;=H$5+6),"▲","")</f>
        <v/>
      </c>
      <c r="I14" s="88" t="str">
        <f aca="true">IF(AND(TODAY()&gt;=I$5,TODAY()&lt;=I$5+6),"▲","")</f>
        <v/>
      </c>
      <c r="J14" s="88" t="str">
        <f aca="true">IF(AND(TODAY()&gt;=J$5,TODAY()&lt;=J$5+6),"▲","")</f>
        <v/>
      </c>
      <c r="K14" s="88" t="str">
        <f aca="true">IF(AND(TODAY()&gt;=K$5,TODAY()&lt;=K$5+6),"▲","")</f>
        <v/>
      </c>
      <c r="L14" s="88" t="str">
        <f aca="true">IF(AND(TODAY()&gt;=L$5,TODAY()&lt;=L$5+6),"▲","")</f>
        <v/>
      </c>
      <c r="M14" s="88" t="str">
        <f aca="true">IF(AND(TODAY()&gt;=M$5,TODAY()&lt;=M$5+6),"▲","")</f>
        <v/>
      </c>
      <c r="N14" s="88" t="str">
        <f aca="true">IF(AND(TODAY()&gt;=N$5,TODAY()&lt;=N$5+6),"▲","")</f>
        <v/>
      </c>
      <c r="O14" s="88" t="str">
        <f aca="true">IF(AND(TODAY()&gt;=O$5,TODAY()&lt;=O$5+6),"▲","")</f>
        <v/>
      </c>
      <c r="P14" s="88" t="str">
        <f aca="true">IF(AND(TODAY()&gt;=P$5,TODAY()&lt;=P$5+6),"▲","")</f>
        <v/>
      </c>
      <c r="Q14" s="88" t="str">
        <f aca="true">IF(AND(TODAY()&gt;=Q$5,TODAY()&lt;=Q$5+6),"▲","")</f>
        <v/>
      </c>
      <c r="R14" s="88" t="str">
        <f aca="true">IF(AND(TODAY()&gt;=R$5,TODAY()&lt;=R$5+6),"▲","")</f>
        <v/>
      </c>
      <c r="S14" s="88" t="str">
        <f aca="true">IF(AND(TODAY()&gt;=S$5,TODAY()&lt;=S$5+6),"▲","")</f>
        <v/>
      </c>
      <c r="T14" s="88" t="str">
        <f aca="true">IF(AND(TODAY()&gt;=T$5,TODAY()&lt;=T$5+6),"▲","")</f>
        <v/>
      </c>
      <c r="U14" s="88" t="str">
        <f aca="true">IF(AND(TODAY()&gt;=U$5,TODAY()&lt;=U$5+6),"▲","")</f>
        <v/>
      </c>
      <c r="V14" s="88" t="str">
        <f aca="true">IF(AND(TODAY()&gt;=V$5,TODAY()&lt;=V$5+6),"▲","")</f>
        <v/>
      </c>
      <c r="W14" s="88" t="str">
        <f aca="true">IF(AND(TODAY()&gt;=W$5,TODAY()&lt;=W$5+6),"▲","")</f>
        <v/>
      </c>
      <c r="X14" s="88" t="str">
        <f aca="true">IF(AND(TODAY()&gt;=X$5,TODAY()&lt;=X$5+6),"▲","")</f>
        <v/>
      </c>
      <c r="Y14" s="88" t="str">
        <f aca="true">IF(AND(TODAY()&gt;=Y$5,TODAY()&lt;=Y$5+6),"▲","")</f>
        <v/>
      </c>
      <c r="Z14" s="88" t="str">
        <f aca="true">IF(AND(TODAY()&gt;=Z$5,TODAY()&lt;=Z$5+6),"▲","")</f>
        <v/>
      </c>
      <c r="AA14" s="88" t="str">
        <f aca="true">IF(AND(TODAY()&gt;=AA$5,TODAY()&lt;=AA$5+6),"▲","")</f>
        <v/>
      </c>
      <c r="AB14" s="88" t="str">
        <f aca="true">IF(AND(TODAY()&gt;=AB$5,TODAY()&lt;=AB$5+6),"▲","")</f>
        <v/>
      </c>
      <c r="AC14" s="88" t="str">
        <f aca="true">IF(AND(TODAY()&gt;=AC$5,TODAY()&lt;=AC$5+6),"▲","")</f>
        <v/>
      </c>
      <c r="AD14" s="88" t="str">
        <f aca="true">IF(AND(TODAY()&gt;=AD$5,TODAY()&lt;=AD$5+6),"▲","")</f>
        <v/>
      </c>
      <c r="AE14" s="88" t="str">
        <f aca="true">IF(AND(TODAY()&gt;=AE$5,TODAY()&lt;=AE$5+6),"▲","")</f>
        <v/>
      </c>
      <c r="AF14" s="88" t="str">
        <f aca="true">IF(AND(TODAY()&gt;=AF$5,TODAY()&lt;=AF$5+6),"▲","")</f>
        <v/>
      </c>
      <c r="AG14" s="88" t="str">
        <f aca="true">IF(AND(TODAY()&gt;=AG$5,TODAY()&lt;=AG$5+6),"▲","")</f>
        <v/>
      </c>
      <c r="AH14" s="88" t="str">
        <f aca="true">IF(AND(TODAY()&gt;=AH$5,TODAY()&lt;=AH$5+6),"▲","")</f>
        <v/>
      </c>
      <c r="AI14" s="88" t="str">
        <f aca="true">IF(AND(TODAY()&gt;=AI$5,TODAY()&lt;=AI$5+6),"▲","")</f>
        <v/>
      </c>
      <c r="AJ14" s="88" t="str">
        <f aca="true">IF(AND(TODAY()&gt;=AJ$5,TODAY()&lt;=AJ$5+6),"▲","")</f>
        <v/>
      </c>
      <c r="AK14" s="88" t="str">
        <f aca="true">IF(AND(TODAY()&gt;=AK$5,TODAY()&lt;=AK$5+6),"▲","")</f>
        <v/>
      </c>
      <c r="AL14" s="88" t="str">
        <f aca="true">IF(AND(TODAY()&gt;=AL$5,TODAY()&lt;=AL$5+6),"▲","")</f>
        <v/>
      </c>
      <c r="AM14" s="88" t="str">
        <f aca="true">IF(AND(TODAY()&gt;=AM$5,TODAY()&lt;=AM$5+6),"▲","")</f>
        <v/>
      </c>
      <c r="AN14" s="88" t="str">
        <f aca="true">IF(AND(TODAY()&gt;=AN$5,TODAY()&lt;=AN$5+6),"▲","")</f>
        <v/>
      </c>
      <c r="AO14" s="88" t="str">
        <f aca="true">IF(AND(TODAY()&gt;=AO$5,TODAY()&lt;=AO$5+6),"▲","")</f>
        <v/>
      </c>
      <c r="AP14" s="88" t="str">
        <f aca="true">IF(AND(TODAY()&gt;=AP$5,TODAY()&lt;=AP$5+6),"▲","")</f>
        <v/>
      </c>
      <c r="AQ14" s="88" t="str">
        <f aca="true">IF(AND(TODAY()&gt;=AQ$5,TODAY()&lt;=AQ$5+6),"▲","")</f>
        <v/>
      </c>
      <c r="AR14" s="88" t="str">
        <f aca="true">IF(AND(TODAY()&gt;=AR$5,TODAY()&lt;=AR$5+6),"▲","")</f>
        <v/>
      </c>
      <c r="AS14" s="88" t="str">
        <f aca="true">IF(AND(TODAY()&gt;=AS$5,TODAY()&lt;=AS$5+6),"▲","")</f>
        <v/>
      </c>
      <c r="AT14" s="88" t="str">
        <f aca="true">IF(AND(TODAY()&gt;=AT$5,TODAY()&lt;=AT$5+6),"▲","")</f>
        <v/>
      </c>
      <c r="AU14" s="88" t="str">
        <f aca="true">IF(AND(TODAY()&gt;=AU$5,TODAY()&lt;=AU$5+6),"▲","")</f>
        <v/>
      </c>
      <c r="AV14" s="88" t="str">
        <f aca="true">IF(AND(TODAY()&gt;=AV$5,TODAY()&lt;=AV$5+6),"▲","")</f>
        <v/>
      </c>
      <c r="AW14" s="88" t="str">
        <f aca="true">IF(AND(TODAY()&gt;=AW$5,TODAY()&lt;=AW$5+6),"▲","")</f>
        <v/>
      </c>
      <c r="AX14" s="88" t="str">
        <f aca="true">IF(AND(TODAY()&gt;=AX$5,TODAY()&lt;=AX$5+6),"▲","")</f>
        <v/>
      </c>
      <c r="AY14" s="88" t="str">
        <f aca="true">IF(AND(TODAY()&gt;=AY$5,TODAY()&lt;=AY$5+6),"▲","")</f>
        <v/>
      </c>
      <c r="AZ14" s="88" t="str">
        <f aca="true">IF(AND(TODAY()&gt;=AZ$5,TODAY()&lt;=AZ$5+6),"▲","")</f>
        <v/>
      </c>
      <c r="BA14" s="88" t="str">
        <f aca="true">IF(AND(TODAY()&gt;=BA$5,TODAY()&lt;=BA$5+6),"▲","")</f>
        <v/>
      </c>
      <c r="BB14" s="88" t="str">
        <f aca="true">IF(AND(TODAY()&gt;=BB$5,TODAY()&lt;=BB$5+6),"▲","")</f>
        <v/>
      </c>
      <c r="BC14" s="88" t="str">
        <f aca="true">IF(AND(TODAY()&gt;=BC$5,TODAY()&lt;=BC$5+6),"▲","")</f>
        <v/>
      </c>
      <c r="BD14" s="88" t="str">
        <f aca="true">IF(AND(TODAY()&gt;=BD$5,TODAY()&lt;=BD$5+6),"▲","")</f>
        <v/>
      </c>
      <c r="BE14" s="88" t="str">
        <f aca="true">IF(AND(TODAY()&gt;=BE$5,TODAY()&lt;=BE$5+6),"▲","")</f>
        <v/>
      </c>
      <c r="BF14" s="88" t="str">
        <f aca="true">IF(AND(TODAY()&gt;=BF$5,TODAY()&lt;=BF$5+6),"▲","")</f>
        <v/>
      </c>
      <c r="BG14" s="88" t="str">
        <f aca="true">IF(AND(TODAY()&gt;=BG$5,TODAY()&lt;=BG$5+6),"▲","")</f>
        <v/>
      </c>
      <c r="BH14" s="88" t="str">
        <f aca="true">IF(AND(TODAY()&gt;=BH$5,TODAY()&lt;=BH$5+6),"▲","")</f>
        <v/>
      </c>
      <c r="BI14" s="88" t="str">
        <f aca="true">IF(AND(TODAY()&gt;=BI$5,TODAY()&lt;=BI$5+6),"▲","")</f>
        <v/>
      </c>
      <c r="BJ14" s="88" t="str">
        <f aca="true">IF(AND(TODAY()&gt;=BJ$5,TODAY()&lt;=BJ$5+6),"▲","")</f>
        <v/>
      </c>
      <c r="BK14" s="88"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870</v>
      </c>
      <c r="B2" s="3"/>
      <c r="C2" s="3"/>
      <c r="D2" s="3"/>
      <c r="E2" s="3"/>
      <c r="F2" s="3"/>
      <c r="G2" s="3"/>
      <c r="H2" s="3"/>
    </row>
    <row r="4" customFormat="false" ht="15" hidden="false" customHeight="true" outlineLevel="0" collapsed="false">
      <c r="A4" s="57" t="s">
        <v>871</v>
      </c>
      <c r="B4" s="57" t="s">
        <v>872</v>
      </c>
      <c r="C4" s="57" t="s">
        <v>96</v>
      </c>
      <c r="D4" s="57" t="s">
        <v>98</v>
      </c>
      <c r="E4" s="57" t="s">
        <v>100</v>
      </c>
      <c r="F4" s="57" t="s">
        <v>102</v>
      </c>
      <c r="G4" s="57" t="s">
        <v>104</v>
      </c>
      <c r="H4" s="57" t="s">
        <v>106</v>
      </c>
      <c r="I4" s="57" t="s">
        <v>873</v>
      </c>
      <c r="J4" s="57" t="s">
        <v>7</v>
      </c>
    </row>
    <row r="5" customFormat="false" ht="21.75" hidden="false" customHeight="true" outlineLevel="0" collapsed="false">
      <c r="A5" s="26" t="s">
        <v>292</v>
      </c>
      <c r="B5" s="89" t="n">
        <f aca="false">Assumptions!B26</f>
        <v>1800</v>
      </c>
      <c r="C5" s="43" t="n">
        <v>6</v>
      </c>
      <c r="D5" s="43" t="n">
        <v>8</v>
      </c>
      <c r="E5" s="43" t="n">
        <v>14</v>
      </c>
      <c r="F5" s="43" t="n">
        <v>6</v>
      </c>
      <c r="G5" s="43" t="n">
        <v>4</v>
      </c>
      <c r="H5" s="43" t="n">
        <v>2</v>
      </c>
      <c r="I5" s="32" t="n">
        <f aca="false">SUM(C5:H5)</f>
        <v>40</v>
      </c>
      <c r="J5" s="90" t="n">
        <f aca="false">B5*I5</f>
        <v>72000</v>
      </c>
    </row>
    <row r="6" customFormat="false" ht="21.75" hidden="false" customHeight="true" outlineLevel="0" collapsed="false">
      <c r="A6" s="26" t="s">
        <v>631</v>
      </c>
      <c r="B6" s="89" t="n">
        <f aca="false">Assumptions!B27</f>
        <v>2200</v>
      </c>
      <c r="C6" s="43" t="n">
        <v>4</v>
      </c>
      <c r="D6" s="43" t="n">
        <v>10</v>
      </c>
      <c r="E6" s="43" t="n">
        <v>18</v>
      </c>
      <c r="F6" s="43" t="n">
        <v>6</v>
      </c>
      <c r="G6" s="43" t="n">
        <v>4</v>
      </c>
      <c r="H6" s="43" t="n">
        <v>2</v>
      </c>
      <c r="I6" s="32" t="n">
        <f aca="false">SUM(C6:H6)</f>
        <v>44</v>
      </c>
      <c r="J6" s="90" t="n">
        <f aca="false">B6*I6</f>
        <v>96800</v>
      </c>
    </row>
    <row r="7" customFormat="false" ht="21.75" hidden="false" customHeight="true" outlineLevel="0" collapsed="false">
      <c r="A7" s="26" t="s">
        <v>639</v>
      </c>
      <c r="B7" s="89" t="n">
        <f aca="false">Assumptions!B28</f>
        <v>1700</v>
      </c>
      <c r="C7" s="43" t="n">
        <v>2</v>
      </c>
      <c r="D7" s="43" t="n">
        <v>6</v>
      </c>
      <c r="E7" s="43" t="n">
        <v>14</v>
      </c>
      <c r="F7" s="43" t="n">
        <v>4</v>
      </c>
      <c r="G7" s="43" t="n">
        <v>3</v>
      </c>
      <c r="H7" s="43" t="n">
        <v>2</v>
      </c>
      <c r="I7" s="32" t="n">
        <f aca="false">SUM(C7:H7)</f>
        <v>31</v>
      </c>
      <c r="J7" s="90" t="n">
        <f aca="false">B7*I7</f>
        <v>52700</v>
      </c>
    </row>
    <row r="8" customFormat="false" ht="21.75" hidden="false" customHeight="true" outlineLevel="0" collapsed="false">
      <c r="A8" s="26" t="s">
        <v>731</v>
      </c>
      <c r="B8" s="89" t="n">
        <f aca="false">Assumptions!B29</f>
        <v>1600</v>
      </c>
      <c r="C8" s="43" t="n">
        <v>0</v>
      </c>
      <c r="D8" s="43" t="n">
        <v>2</v>
      </c>
      <c r="E8" s="43" t="n">
        <v>4</v>
      </c>
      <c r="F8" s="43" t="n">
        <v>2</v>
      </c>
      <c r="G8" s="43" t="n">
        <v>2</v>
      </c>
      <c r="H8" s="43" t="n">
        <v>2</v>
      </c>
      <c r="I8" s="32" t="n">
        <f aca="false">SUM(C8:H8)</f>
        <v>12</v>
      </c>
      <c r="J8" s="90" t="n">
        <f aca="false">B8*I8</f>
        <v>19200</v>
      </c>
    </row>
    <row r="9" customFormat="false" ht="21.75" hidden="false" customHeight="true" outlineLevel="0" collapsed="false">
      <c r="A9" s="26" t="s">
        <v>786</v>
      </c>
      <c r="B9" s="89" t="n">
        <f aca="false">Assumptions!B30</f>
        <v>1200</v>
      </c>
      <c r="C9" s="43" t="n">
        <v>0</v>
      </c>
      <c r="D9" s="43" t="n">
        <v>2</v>
      </c>
      <c r="E9" s="43" t="n">
        <v>4</v>
      </c>
      <c r="F9" s="43" t="n">
        <v>4</v>
      </c>
      <c r="G9" s="43" t="n">
        <v>6</v>
      </c>
      <c r="H9" s="43" t="n">
        <v>2</v>
      </c>
      <c r="I9" s="32" t="n">
        <f aca="false">SUM(C9:H9)</f>
        <v>18</v>
      </c>
      <c r="J9" s="90" t="n">
        <f aca="false">B9*I9</f>
        <v>21600</v>
      </c>
    </row>
    <row r="10" customFormat="false" ht="21.75" hidden="false" customHeight="true" outlineLevel="0" collapsed="false">
      <c r="A10" s="26" t="s">
        <v>100</v>
      </c>
      <c r="B10" s="89" t="n">
        <f aca="false">Assumptions!B31</f>
        <v>1900</v>
      </c>
      <c r="C10" s="43" t="n">
        <v>4</v>
      </c>
      <c r="D10" s="43" t="n">
        <v>6</v>
      </c>
      <c r="E10" s="43" t="n">
        <v>10</v>
      </c>
      <c r="F10" s="43" t="n">
        <v>4</v>
      </c>
      <c r="G10" s="43" t="n">
        <v>4</v>
      </c>
      <c r="H10" s="43" t="n">
        <v>4</v>
      </c>
      <c r="I10" s="32" t="n">
        <f aca="false">SUM(C10:H10)</f>
        <v>32</v>
      </c>
      <c r="J10" s="90" t="n">
        <f aca="false">B10*I10</f>
        <v>60800</v>
      </c>
    </row>
    <row r="11" customFormat="false" ht="15" hidden="false" customHeight="true" outlineLevel="0" collapsed="false">
      <c r="A11" s="71" t="s">
        <v>874</v>
      </c>
      <c r="B11" s="71" t="s">
        <v>875</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1" t="n">
        <f aca="false">SUM(J5:J10)</f>
        <v>323100</v>
      </c>
    </row>
    <row r="12" customFormat="false" ht="15" hidden="false" customHeight="true" outlineLevel="0" collapsed="false">
      <c r="A12" s="71" t="s">
        <v>876</v>
      </c>
      <c r="B12" s="71" t="s">
        <v>877</v>
      </c>
      <c r="C12" s="62" t="n">
        <f aca="false">IF(Assumptions!B16=0,0,C11/Assumptions!B16)</f>
        <v>2</v>
      </c>
      <c r="D12" s="62" t="n">
        <f aca="false">IF(Assumptions!B17=0,0,D11/Assumptions!B17)</f>
        <v>3.4</v>
      </c>
      <c r="E12" s="62" t="n">
        <f aca="false">IF(Assumptions!B18=0,0,E11/Assumptions!B18)</f>
        <v>3.55555555555556</v>
      </c>
      <c r="F12" s="62" t="n">
        <f aca="false">IF(Assumptions!B19=0,0,F11/Assumptions!B19)</f>
        <v>4.33333333333333</v>
      </c>
      <c r="G12" s="62" t="n">
        <f aca="false">IF(Assumptions!B20=0,0,G11/Assumptions!B20)</f>
        <v>3.83333333333333</v>
      </c>
      <c r="H12" s="62" t="n">
        <f aca="false">IF(Assumptions!B21=0,0,H11/Assumptions!B21)</f>
        <v>3.5</v>
      </c>
      <c r="I12" s="62" t="n">
        <f aca="false">IF(Assumptions!B22=0,0,I11/Assumptions!B22)</f>
        <v>3.40384615384615</v>
      </c>
    </row>
    <row r="13" customFormat="false" ht="15" hidden="false" customHeight="true" outlineLevel="0" collapsed="false">
      <c r="A13" s="6" t="s">
        <v>878</v>
      </c>
      <c r="B13" s="6"/>
      <c r="C13" s="6"/>
      <c r="D13" s="6"/>
      <c r="E13" s="6"/>
      <c r="F13" s="6"/>
      <c r="G13" s="6"/>
      <c r="H13" s="6"/>
    </row>
    <row r="14" customFormat="false" ht="15" hidden="false" customHeight="true" outlineLevel="0" collapsed="false">
      <c r="A14" s="9" t="s">
        <v>5</v>
      </c>
      <c r="B14" s="9" t="s">
        <v>879</v>
      </c>
      <c r="C14" s="9" t="s">
        <v>292</v>
      </c>
      <c r="D14" s="9" t="s">
        <v>631</v>
      </c>
      <c r="E14" s="9" t="s">
        <v>639</v>
      </c>
      <c r="F14" s="9" t="s">
        <v>731</v>
      </c>
      <c r="G14" s="9" t="s">
        <v>786</v>
      </c>
      <c r="H14" s="9" t="s">
        <v>100</v>
      </c>
      <c r="I14" s="9" t="s">
        <v>873</v>
      </c>
      <c r="J14" s="9" t="s">
        <v>7</v>
      </c>
    </row>
    <row r="15" customFormat="false" ht="19.5" hidden="false" customHeight="true" outlineLevel="0" collapsed="false">
      <c r="A15" s="79" t="str">
        <f aca="false">Assumptions!A16</f>
        <v>Preproduction</v>
      </c>
      <c r="B15" s="60"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90" t="n">
        <f aca="false">C15*Assumptions!$B$26+D15*Assumptions!$B$27+E15*Assumptions!$B$28+F15*Assumptions!$B$29+G15*Assumptions!$B$30+H15*Assumptions!$B$31</f>
        <v>30600</v>
      </c>
    </row>
    <row r="16" customFormat="false" ht="19.5" hidden="false" customHeight="true" outlineLevel="0" collapsed="false">
      <c r="A16" s="79" t="str">
        <f aca="false">Assumptions!A17</f>
        <v>Vertical slice</v>
      </c>
      <c r="B16" s="60"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90" t="n">
        <f aca="false">C16*Assumptions!$B$26+D16*Assumptions!$B$27+E16*Assumptions!$B$28+F16*Assumptions!$B$29+G16*Assumptions!$B$30+H16*Assumptions!$B$31</f>
        <v>63600</v>
      </c>
    </row>
    <row r="17" customFormat="false" ht="19.5" hidden="false" customHeight="true" outlineLevel="0" collapsed="false">
      <c r="A17" s="79" t="str">
        <f aca="false">Assumptions!A18</f>
        <v>Production</v>
      </c>
      <c r="B17" s="60"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90" t="n">
        <f aca="false">C17*Assumptions!$B$26+D17*Assumptions!$B$27+E17*Assumptions!$B$28+F17*Assumptions!$B$29+G17*Assumptions!$B$30+H17*Assumptions!$B$31</f>
        <v>118800</v>
      </c>
    </row>
    <row r="18" customFormat="false" ht="19.5" hidden="false" customHeight="true" outlineLevel="0" collapsed="false">
      <c r="A18" s="79" t="str">
        <f aca="false">Assumptions!A19</f>
        <v>Alpha</v>
      </c>
      <c r="B18" s="60"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90" t="n">
        <f aca="false">C18*Assumptions!$B$26+D18*Assumptions!$B$27+E18*Assumptions!$B$28+F18*Assumptions!$B$29+G18*Assumptions!$B$30+H18*Assumptions!$B$31</f>
        <v>46400</v>
      </c>
    </row>
    <row r="19" customFormat="false" ht="19.5" hidden="false" customHeight="true" outlineLevel="0" collapsed="false">
      <c r="A19" s="79" t="str">
        <f aca="false">Assumptions!A20</f>
        <v>Beta</v>
      </c>
      <c r="B19" s="60"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90" t="n">
        <f aca="false">C19*Assumptions!$B$26+D19*Assumptions!$B$27+E19*Assumptions!$B$28+F19*Assumptions!$B$29+G19*Assumptions!$B$30+H19*Assumptions!$B$31</f>
        <v>39100</v>
      </c>
    </row>
    <row r="20" customFormat="false" ht="19.5" hidden="false" customHeight="true" outlineLevel="0" collapsed="false">
      <c r="A20" s="79"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90" t="n">
        <f aca="false">C20*Assumptions!$B$26+D20*Assumptions!$B$27+E20*Assumptions!$B$28+F20*Assumptions!$B$29+G20*Assumptions!$B$30+H20*Assumptions!$B$31</f>
        <v>24600</v>
      </c>
    </row>
    <row r="21" customFormat="false" ht="15" hidden="false" customHeight="true" outlineLevel="0" collapsed="false">
      <c r="A21" s="20" t="s">
        <v>880</v>
      </c>
      <c r="B21" s="20"/>
      <c r="C21" s="20"/>
      <c r="D21" s="20"/>
      <c r="E21" s="20"/>
      <c r="F21" s="20"/>
      <c r="G21" s="20"/>
      <c r="H21" s="20"/>
      <c r="I21" s="20"/>
      <c r="J21" s="92" t="n">
        <f aca="false">SUM(J15:J20)</f>
        <v>323100</v>
      </c>
    </row>
    <row r="22" customFormat="false" ht="15" hidden="false" customHeight="true" outlineLevel="0" collapsed="false">
      <c r="A22" s="50" t="s">
        <v>881</v>
      </c>
      <c r="B22" s="50"/>
      <c r="C22" s="50"/>
      <c r="D22" s="50"/>
      <c r="E22" s="50"/>
      <c r="F22" s="50"/>
      <c r="G22" s="50"/>
      <c r="H22" s="50"/>
      <c r="I22" s="93" t="n">
        <f aca="false">Assumptions!B32</f>
        <v>0.15</v>
      </c>
      <c r="J22" s="90" t="n">
        <f aca="false">J21*I22</f>
        <v>48465</v>
      </c>
    </row>
    <row r="23" customFormat="false" ht="15" hidden="false" customHeight="true" outlineLevel="0" collapsed="false">
      <c r="A23" s="50" t="s">
        <v>882</v>
      </c>
      <c r="B23" s="50"/>
      <c r="C23" s="50"/>
      <c r="D23" s="50"/>
      <c r="E23" s="50"/>
      <c r="F23" s="50"/>
      <c r="G23" s="50"/>
      <c r="H23" s="50"/>
      <c r="I23" s="50"/>
      <c r="J23" s="90" t="n">
        <f aca="false">Assumptions!B34</f>
        <v>18000</v>
      </c>
    </row>
    <row r="24" customFormat="false" ht="15" hidden="false" customHeight="true" outlineLevel="0" collapsed="false">
      <c r="A24" s="50" t="s">
        <v>883</v>
      </c>
      <c r="B24" s="50"/>
      <c r="C24" s="50"/>
      <c r="D24" s="50"/>
      <c r="E24" s="50"/>
      <c r="F24" s="50"/>
      <c r="G24" s="50"/>
      <c r="H24" s="50"/>
      <c r="I24" s="50"/>
      <c r="J24" s="90" t="n">
        <f aca="false">Assumptions!B35</f>
        <v>12000</v>
      </c>
    </row>
    <row r="25" customFormat="false" ht="15" hidden="false" customHeight="true" outlineLevel="0" collapsed="false">
      <c r="A25" s="50" t="s">
        <v>129</v>
      </c>
      <c r="B25" s="50"/>
      <c r="C25" s="50"/>
      <c r="D25" s="50"/>
      <c r="E25" s="50"/>
      <c r="F25" s="50"/>
      <c r="G25" s="50"/>
      <c r="H25" s="50"/>
      <c r="I25" s="50"/>
      <c r="J25" s="90" t="n">
        <f aca="false">Assumptions!B36</f>
        <v>4000</v>
      </c>
    </row>
    <row r="26" customFormat="false" ht="15" hidden="false" customHeight="true" outlineLevel="0" collapsed="false">
      <c r="A26" s="50" t="s">
        <v>130</v>
      </c>
      <c r="B26" s="50"/>
      <c r="C26" s="50"/>
      <c r="D26" s="50"/>
      <c r="E26" s="50"/>
      <c r="F26" s="50"/>
      <c r="G26" s="50"/>
      <c r="H26" s="50"/>
      <c r="I26" s="50"/>
      <c r="J26" s="90" t="n">
        <f aca="false">Assumptions!B37</f>
        <v>2500</v>
      </c>
    </row>
    <row r="27" customFormat="false" ht="15" hidden="false" customHeight="true" outlineLevel="0" collapsed="false">
      <c r="A27" s="50" t="s">
        <v>193</v>
      </c>
      <c r="B27" s="50"/>
      <c r="C27" s="50"/>
      <c r="D27" s="50"/>
      <c r="E27" s="50"/>
      <c r="F27" s="50"/>
      <c r="G27" s="50"/>
      <c r="H27" s="50"/>
      <c r="I27" s="50"/>
      <c r="J27" s="90" t="n">
        <f aca="false">Assumptions!B76</f>
        <v>3000</v>
      </c>
    </row>
    <row r="28" customFormat="false" ht="15" hidden="false" customHeight="true" outlineLevel="0" collapsed="false">
      <c r="A28" s="50" t="s">
        <v>884</v>
      </c>
      <c r="B28" s="50"/>
      <c r="C28" s="50"/>
      <c r="D28" s="50"/>
      <c r="E28" s="50"/>
      <c r="F28" s="50"/>
      <c r="G28" s="50"/>
      <c r="H28" s="50"/>
      <c r="I28" s="50"/>
      <c r="J28" s="90" t="n">
        <f aca="false">Assumptions!B75</f>
        <v>100</v>
      </c>
    </row>
    <row r="29" customFormat="false" ht="15" hidden="false" customHeight="true" outlineLevel="0" collapsed="false">
      <c r="A29" s="26" t="s">
        <v>885</v>
      </c>
      <c r="B29" s="26"/>
      <c r="C29" s="26"/>
      <c r="D29" s="26"/>
      <c r="E29" s="26"/>
      <c r="F29" s="26"/>
      <c r="G29" s="26"/>
      <c r="H29" s="26"/>
      <c r="I29" s="26"/>
      <c r="J29" s="94" t="n">
        <f aca="false">SUM(J21:J28)</f>
        <v>411165</v>
      </c>
    </row>
    <row r="30" customFormat="false" ht="15" hidden="false" customHeight="true" outlineLevel="0" collapsed="false">
      <c r="A30" s="50" t="s">
        <v>123</v>
      </c>
      <c r="B30" s="50"/>
      <c r="C30" s="50"/>
      <c r="D30" s="50"/>
      <c r="E30" s="50"/>
      <c r="F30" s="50"/>
      <c r="G30" s="50"/>
      <c r="H30" s="50"/>
      <c r="I30" s="93" t="n">
        <f aca="false">Assumptions!B33</f>
        <v>0.12</v>
      </c>
      <c r="J30" s="90" t="n">
        <f aca="false">J29*I30</f>
        <v>49339.8</v>
      </c>
    </row>
    <row r="31" customFormat="false" ht="15" hidden="false" customHeight="true" outlineLevel="0" collapsed="false">
      <c r="A31" s="66" t="s">
        <v>886</v>
      </c>
      <c r="B31" s="66"/>
      <c r="C31" s="66"/>
      <c r="D31" s="66"/>
      <c r="E31" s="66"/>
      <c r="F31" s="66"/>
      <c r="G31" s="66"/>
      <c r="H31" s="66"/>
      <c r="I31" s="66"/>
      <c r="J31" s="68" t="n">
        <f aca="false">J29+J30</f>
        <v>460504.8</v>
      </c>
    </row>
    <row r="32" customFormat="false" ht="15" hidden="false" customHeight="true" outlineLevel="0" collapsed="false"/>
    <row r="33" customFormat="false" ht="15" hidden="false" customHeight="true" outlineLevel="0" collapsed="false">
      <c r="A33" s="71" t="s">
        <v>887</v>
      </c>
    </row>
    <row r="34" customFormat="false" ht="15" hidden="false" customHeight="true" outlineLevel="0" collapsed="false">
      <c r="A34" s="95" t="s">
        <v>888</v>
      </c>
      <c r="B34" s="95"/>
      <c r="C34" s="95"/>
      <c r="D34" s="95"/>
      <c r="E34" s="95"/>
      <c r="F34" s="95"/>
      <c r="G34" s="95"/>
      <c r="H34" s="95"/>
      <c r="I34" s="95"/>
      <c r="J34" s="95"/>
    </row>
    <row r="35" customFormat="false" ht="15" hidden="false" customHeight="true" outlineLevel="0" collapsed="false">
      <c r="A35" s="4" t="s">
        <v>880</v>
      </c>
      <c r="B35" s="90" t="n">
        <f aca="false">J21</f>
        <v>323100</v>
      </c>
    </row>
    <row r="36" customFormat="false" ht="15" hidden="false" customHeight="true" outlineLevel="0" collapsed="false">
      <c r="A36" s="4" t="s">
        <v>889</v>
      </c>
      <c r="B36" s="90" t="n">
        <f aca="false">J31</f>
        <v>460504.8</v>
      </c>
    </row>
    <row r="37" customFormat="false" ht="15" hidden="false" customHeight="true" outlineLevel="0" collapsed="false">
      <c r="A37" s="4" t="s">
        <v>890</v>
      </c>
      <c r="B37" s="90"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891</v>
      </c>
      <c r="B2" s="3"/>
      <c r="C2" s="3"/>
      <c r="D2" s="3"/>
      <c r="E2" s="3"/>
    </row>
    <row r="4" customFormat="false" ht="15" hidden="false" customHeight="true" outlineLevel="0" collapsed="false">
      <c r="A4" s="6" t="s">
        <v>892</v>
      </c>
      <c r="B4" s="6"/>
      <c r="C4" s="6"/>
      <c r="D4" s="6"/>
      <c r="E4" s="6"/>
    </row>
    <row r="5" customFormat="false" ht="15" hidden="false" customHeight="true" outlineLevel="0" collapsed="false">
      <c r="A5" s="9" t="s">
        <v>110</v>
      </c>
      <c r="B5" s="9" t="s">
        <v>42</v>
      </c>
      <c r="C5" s="29" t="s">
        <v>463</v>
      </c>
      <c r="D5" s="29"/>
      <c r="E5" s="29"/>
    </row>
    <row r="6" customFormat="false" ht="15" hidden="false" customHeight="true" outlineLevel="0" collapsed="false">
      <c r="A6" s="4" t="s">
        <v>179</v>
      </c>
      <c r="B6" s="96" t="n">
        <f aca="false">Assumptions!B69</f>
        <v>19.99</v>
      </c>
      <c r="C6" s="33" t="s">
        <v>893</v>
      </c>
      <c r="D6" s="33"/>
      <c r="E6" s="33"/>
    </row>
    <row r="7" customFormat="false" ht="15" hidden="false" customHeight="true" outlineLevel="0" collapsed="false">
      <c r="A7" s="4" t="s">
        <v>894</v>
      </c>
      <c r="B7" s="97" t="n">
        <f aca="false">B6*Assumptions!B70</f>
        <v>15.992</v>
      </c>
      <c r="C7" s="33" t="s">
        <v>895</v>
      </c>
      <c r="D7" s="33"/>
      <c r="E7" s="33"/>
    </row>
    <row r="8" customFormat="false" ht="15" hidden="false" customHeight="true" outlineLevel="0" collapsed="false">
      <c r="A8" s="4" t="s">
        <v>896</v>
      </c>
      <c r="B8" s="97" t="n">
        <f aca="false">B7*(1-Assumptions!B71)</f>
        <v>14.71264</v>
      </c>
      <c r="C8" s="33"/>
      <c r="D8" s="33"/>
      <c r="E8" s="33"/>
    </row>
    <row r="9" customFormat="false" ht="15" hidden="false" customHeight="true" outlineLevel="0" collapsed="false">
      <c r="A9" s="4" t="s">
        <v>897</v>
      </c>
      <c r="B9" s="74" t="n">
        <f aca="false">Assumptions!B72*(1-Assumptions!B74)+Assumptions!B73*Assumptions!B74</f>
        <v>0.29</v>
      </c>
      <c r="C9" s="33" t="s">
        <v>898</v>
      </c>
      <c r="D9" s="33"/>
      <c r="E9" s="33"/>
    </row>
    <row r="10" customFormat="false" ht="15" hidden="false" customHeight="true" outlineLevel="0" collapsed="false">
      <c r="A10" s="20" t="s">
        <v>899</v>
      </c>
      <c r="B10" s="98" t="n">
        <f aca="false">B8*(1-B9)</f>
        <v>10.4459744</v>
      </c>
      <c r="C10" s="33" t="s">
        <v>900</v>
      </c>
      <c r="D10" s="33"/>
      <c r="E10" s="33"/>
    </row>
    <row r="12" customFormat="false" ht="15" hidden="false" customHeight="true" outlineLevel="0" collapsed="false">
      <c r="A12" s="6" t="s">
        <v>901</v>
      </c>
      <c r="B12" s="6"/>
      <c r="C12" s="6"/>
      <c r="D12" s="6"/>
      <c r="E12" s="6"/>
    </row>
    <row r="13" customFormat="false" ht="15" hidden="false" customHeight="true" outlineLevel="0" collapsed="false">
      <c r="A13" s="9" t="s">
        <v>110</v>
      </c>
      <c r="B13" s="9" t="s">
        <v>42</v>
      </c>
      <c r="C13" s="29" t="s">
        <v>463</v>
      </c>
      <c r="D13" s="29"/>
      <c r="E13" s="29"/>
    </row>
    <row r="14" customFormat="false" ht="15" hidden="false" customHeight="true" outlineLevel="0" collapsed="false">
      <c r="A14" s="4" t="s">
        <v>12</v>
      </c>
      <c r="B14" s="89" t="n">
        <f aca="false">TeamBudget!B36</f>
        <v>460504.8</v>
      </c>
      <c r="C14" s="33" t="s">
        <v>902</v>
      </c>
      <c r="D14" s="33"/>
      <c r="E14" s="33"/>
    </row>
    <row r="15" customFormat="false" ht="15" hidden="false" customHeight="true" outlineLevel="0" collapsed="false">
      <c r="A15" s="66" t="s">
        <v>903</v>
      </c>
      <c r="B15" s="99" t="n">
        <f aca="false">IF(B10=0,0,ROUNDUP(B14/B10,0))</f>
        <v>44085</v>
      </c>
      <c r="C15" s="33" t="s">
        <v>904</v>
      </c>
      <c r="D15" s="33"/>
      <c r="E15" s="33"/>
    </row>
    <row r="16" customFormat="false" ht="15" hidden="false" customHeight="true" outlineLevel="0" collapsed="false">
      <c r="A16" s="4" t="s">
        <v>905</v>
      </c>
      <c r="B16" s="89" t="n">
        <f aca="false">TeamBudget!B37</f>
        <v>98632.8</v>
      </c>
      <c r="C16" s="33" t="s">
        <v>906</v>
      </c>
      <c r="D16" s="33"/>
      <c r="E16" s="33"/>
    </row>
    <row r="17" customFormat="false" ht="15" hidden="false" customHeight="true" outlineLevel="0" collapsed="false">
      <c r="A17" s="66" t="s">
        <v>907</v>
      </c>
      <c r="B17" s="99" t="n">
        <f aca="false">IF(B10=0,0,ROUNDUP(B16/B10,0))</f>
        <v>9443</v>
      </c>
      <c r="C17" s="33" t="s">
        <v>908</v>
      </c>
      <c r="D17" s="33"/>
      <c r="E17" s="33"/>
    </row>
    <row r="18" customFormat="false" ht="15" hidden="false" customHeight="true" outlineLevel="0" collapsed="false">
      <c r="A18" s="4" t="s">
        <v>909</v>
      </c>
      <c r="B18" s="90" t="n">
        <f aca="false">B15*B6</f>
        <v>881259.15</v>
      </c>
      <c r="C18" s="33" t="s">
        <v>910</v>
      </c>
      <c r="D18" s="33"/>
      <c r="E18" s="33"/>
    </row>
    <row r="20" customFormat="false" ht="15" hidden="false" customHeight="true" outlineLevel="0" collapsed="false">
      <c r="A20" s="6" t="s">
        <v>911</v>
      </c>
      <c r="B20" s="6"/>
      <c r="C20" s="6"/>
      <c r="D20" s="6"/>
      <c r="E20" s="6"/>
    </row>
    <row r="21" customFormat="false" ht="15" hidden="false" customHeight="true" outlineLevel="0" collapsed="false">
      <c r="A21" s="9" t="s">
        <v>912</v>
      </c>
      <c r="B21" s="9" t="s">
        <v>913</v>
      </c>
      <c r="C21" s="9" t="s">
        <v>914</v>
      </c>
      <c r="D21" s="9" t="s">
        <v>915</v>
      </c>
      <c r="E21" s="9" t="s">
        <v>825</v>
      </c>
    </row>
    <row r="22" customFormat="false" ht="15" hidden="false" customHeight="true" outlineLevel="0" collapsed="false">
      <c r="A22" s="61" t="n">
        <f aca="false">Assumptions!B77</f>
        <v>2000</v>
      </c>
      <c r="B22" s="90" t="n">
        <f aca="false">A22*$B$10</f>
        <v>20891.9488</v>
      </c>
      <c r="C22" s="100" t="n">
        <f aca="false">B22-$B$14</f>
        <v>-439612.8512</v>
      </c>
      <c r="D22" s="100" t="n">
        <f aca="false">B22-$B$16</f>
        <v>-77740.8512</v>
      </c>
      <c r="E22" s="58" t="str">
        <f aca="false">IF(C22&gt;=0,"Pays everyone; funds the next hull",IF(D22&gt;=0,"Cash back; labor partly unpaid","Short of cash"))</f>
        <v>Short of cash</v>
      </c>
    </row>
    <row r="23" customFormat="false" ht="15" hidden="false" customHeight="true" outlineLevel="0" collapsed="false">
      <c r="A23" s="61" t="n">
        <f aca="false">Assumptions!B78</f>
        <v>5000</v>
      </c>
      <c r="B23" s="90" t="n">
        <f aca="false">A23*$B$10</f>
        <v>52229.872</v>
      </c>
      <c r="C23" s="100" t="n">
        <f aca="false">B23-$B$14</f>
        <v>-408274.928</v>
      </c>
      <c r="D23" s="100" t="n">
        <f aca="false">B23-$B$16</f>
        <v>-46402.928</v>
      </c>
      <c r="E23" s="27" t="str">
        <f aca="false">IF(C23&gt;=0,"Pays everyone; funds the next hull",IF(D23&gt;=0,"Cash back; labor partly unpaid","Short of cash"))</f>
        <v>Short of cash</v>
      </c>
    </row>
    <row r="24" customFormat="false" ht="15" hidden="false" customHeight="true" outlineLevel="0" collapsed="false">
      <c r="A24" s="61" t="n">
        <f aca="false">Assumptions!B79</f>
        <v>10000</v>
      </c>
      <c r="B24" s="90" t="n">
        <f aca="false">A24*$B$10</f>
        <v>104459.744</v>
      </c>
      <c r="C24" s="100" t="n">
        <f aca="false">B24-$B$14</f>
        <v>-356045.056</v>
      </c>
      <c r="D24" s="100" t="n">
        <f aca="false">B24-$B$16</f>
        <v>5826.94399999999</v>
      </c>
      <c r="E24" s="58" t="str">
        <f aca="false">IF(C24&gt;=0,"Pays everyone; funds the next hull",IF(D24&gt;=0,"Cash back; labor partly unpaid","Short of cash"))</f>
        <v>Cash back; labor partly unpaid</v>
      </c>
    </row>
    <row r="25" customFormat="false" ht="15" hidden="false" customHeight="true" outlineLevel="0" collapsed="false">
      <c r="A25" s="61" t="n">
        <f aca="false">Assumptions!B80</f>
        <v>25000</v>
      </c>
      <c r="B25" s="90" t="n">
        <f aca="false">A25*$B$10</f>
        <v>261149.36</v>
      </c>
      <c r="C25" s="100" t="n">
        <f aca="false">B25-$B$14</f>
        <v>-199355.44</v>
      </c>
      <c r="D25" s="100"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61" t="n">
        <f aca="false">Assumptions!B81</f>
        <v>50000</v>
      </c>
      <c r="B26" s="90" t="n">
        <f aca="false">A26*$B$10</f>
        <v>522298.72</v>
      </c>
      <c r="C26" s="100" t="n">
        <f aca="false">B26-$B$14</f>
        <v>61793.92</v>
      </c>
      <c r="D26" s="100" t="n">
        <f aca="false">B26-$B$16</f>
        <v>423665.92</v>
      </c>
      <c r="E26" s="58" t="str">
        <f aca="false">IF(C26&gt;=0,"Pays everyone; funds the next hull",IF(D26&gt;=0,"Cash back; labor partly unpaid","Short of cash"))</f>
        <v>Pays everyone; funds the next hull</v>
      </c>
    </row>
    <row r="28" customFormat="false" ht="39.75" hidden="false" customHeight="true" outlineLevel="0" collapsed="false">
      <c r="A28" s="54" t="s">
        <v>916</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917</v>
      </c>
      <c r="B2" s="3"/>
      <c r="C2" s="3"/>
      <c r="D2" s="3"/>
      <c r="E2" s="3"/>
      <c r="F2" s="3"/>
      <c r="G2" s="3"/>
      <c r="H2" s="3"/>
    </row>
    <row r="4" customFormat="false" ht="15" hidden="false" customHeight="true" outlineLevel="0" collapsed="false">
      <c r="A4" s="57" t="s">
        <v>835</v>
      </c>
      <c r="B4" s="57" t="s">
        <v>918</v>
      </c>
      <c r="C4" s="57" t="s">
        <v>919</v>
      </c>
      <c r="D4" s="57" t="s">
        <v>920</v>
      </c>
      <c r="E4" s="57" t="s">
        <v>619</v>
      </c>
      <c r="F4" s="9" t="s">
        <v>44</v>
      </c>
      <c r="G4" s="9" t="s">
        <v>921</v>
      </c>
      <c r="H4" s="9" t="s">
        <v>922</v>
      </c>
    </row>
    <row r="5" customFormat="false" ht="36" hidden="false" customHeight="true" outlineLevel="0" collapsed="false">
      <c r="A5" s="27" t="s">
        <v>839</v>
      </c>
      <c r="B5" s="86" t="n">
        <f aca="false">Schedule!D5</f>
        <v>46383</v>
      </c>
      <c r="C5" s="27" t="s">
        <v>923</v>
      </c>
      <c r="D5" s="27" t="s">
        <v>924</v>
      </c>
      <c r="E5" s="27" t="s">
        <v>292</v>
      </c>
      <c r="F5" s="69" t="s">
        <v>640</v>
      </c>
      <c r="G5" s="27" t="s">
        <v>925</v>
      </c>
      <c r="H5" s="27" t="s">
        <v>926</v>
      </c>
    </row>
    <row r="6" customFormat="false" ht="36" hidden="false" customHeight="true" outlineLevel="0" collapsed="false">
      <c r="A6" s="58" t="s">
        <v>843</v>
      </c>
      <c r="B6" s="86" t="n">
        <f aca="false">Schedule!D6</f>
        <v>46453</v>
      </c>
      <c r="C6" s="58" t="s">
        <v>927</v>
      </c>
      <c r="D6" s="58" t="s">
        <v>928</v>
      </c>
      <c r="E6" s="58" t="s">
        <v>631</v>
      </c>
      <c r="F6" s="69" t="s">
        <v>640</v>
      </c>
      <c r="G6" s="58" t="s">
        <v>929</v>
      </c>
      <c r="H6" s="58" t="s">
        <v>930</v>
      </c>
    </row>
    <row r="7" customFormat="false" ht="36" hidden="false" customHeight="true" outlineLevel="0" collapsed="false">
      <c r="A7" s="27" t="s">
        <v>847</v>
      </c>
      <c r="B7" s="86" t="n">
        <f aca="false">Schedule!D7</f>
        <v>46579</v>
      </c>
      <c r="C7" s="27" t="s">
        <v>931</v>
      </c>
      <c r="D7" s="27" t="s">
        <v>932</v>
      </c>
      <c r="E7" s="27" t="s">
        <v>292</v>
      </c>
      <c r="F7" s="69" t="s">
        <v>640</v>
      </c>
      <c r="G7" s="27" t="s">
        <v>933</v>
      </c>
      <c r="H7" s="27" t="s">
        <v>934</v>
      </c>
    </row>
    <row r="8" customFormat="false" ht="36" hidden="false" customHeight="true" outlineLevel="0" collapsed="false">
      <c r="A8" s="58" t="s">
        <v>851</v>
      </c>
      <c r="B8" s="86" t="n">
        <f aca="false">Schedule!D8</f>
        <v>46621</v>
      </c>
      <c r="C8" s="58" t="s">
        <v>935</v>
      </c>
      <c r="D8" s="58" t="s">
        <v>936</v>
      </c>
      <c r="E8" s="58" t="s">
        <v>100</v>
      </c>
      <c r="F8" s="69" t="s">
        <v>640</v>
      </c>
      <c r="G8" s="58" t="s">
        <v>937</v>
      </c>
      <c r="H8" s="58" t="s">
        <v>938</v>
      </c>
    </row>
    <row r="9" customFormat="false" ht="36" hidden="false" customHeight="true" outlineLevel="0" collapsed="false">
      <c r="A9" s="27" t="s">
        <v>855</v>
      </c>
      <c r="B9" s="86" t="n">
        <f aca="false">Schedule!D9</f>
        <v>46663</v>
      </c>
      <c r="C9" s="27" t="s">
        <v>939</v>
      </c>
      <c r="D9" s="27" t="s">
        <v>940</v>
      </c>
      <c r="E9" s="27" t="s">
        <v>786</v>
      </c>
      <c r="F9" s="69" t="s">
        <v>640</v>
      </c>
      <c r="G9" s="27" t="s">
        <v>941</v>
      </c>
      <c r="H9" s="27" t="s">
        <v>942</v>
      </c>
    </row>
    <row r="10" customFormat="false" ht="36" hidden="false" customHeight="true" outlineLevel="0" collapsed="false">
      <c r="A10" s="58" t="s">
        <v>858</v>
      </c>
      <c r="B10" s="86" t="n">
        <f aca="false">Schedule!D10</f>
        <v>46691</v>
      </c>
      <c r="C10" s="58" t="s">
        <v>943</v>
      </c>
      <c r="D10" s="58" t="s">
        <v>944</v>
      </c>
      <c r="E10" s="58" t="s">
        <v>100</v>
      </c>
      <c r="F10" s="69" t="s">
        <v>640</v>
      </c>
      <c r="G10" s="58" t="s">
        <v>945</v>
      </c>
      <c r="H10" s="58" t="s">
        <v>397</v>
      </c>
    </row>
    <row r="12" customFormat="false" ht="27" hidden="false" customHeight="true" outlineLevel="0" collapsed="false">
      <c r="A12" s="54" t="s">
        <v>946</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947</v>
      </c>
      <c r="B2" s="3"/>
      <c r="C2" s="3"/>
      <c r="D2" s="3"/>
      <c r="E2" s="3"/>
      <c r="F2" s="3"/>
      <c r="G2" s="3"/>
      <c r="H2" s="3"/>
      <c r="I2" s="3"/>
      <c r="J2" s="3"/>
    </row>
    <row r="4" customFormat="false" ht="15" hidden="false" customHeight="true" outlineLevel="0" collapsed="false">
      <c r="A4" s="57" t="s">
        <v>283</v>
      </c>
      <c r="B4" s="57" t="s">
        <v>948</v>
      </c>
      <c r="C4" s="57" t="s">
        <v>949</v>
      </c>
      <c r="D4" s="57" t="s">
        <v>950</v>
      </c>
      <c r="E4" s="57" t="s">
        <v>433</v>
      </c>
      <c r="F4" s="57" t="s">
        <v>951</v>
      </c>
      <c r="G4" s="57" t="s">
        <v>619</v>
      </c>
      <c r="H4" s="57" t="s">
        <v>952</v>
      </c>
      <c r="I4" s="9" t="s">
        <v>953</v>
      </c>
      <c r="J4" s="9" t="s">
        <v>44</v>
      </c>
    </row>
    <row r="5" customFormat="false" ht="31.5" hidden="false" customHeight="true" outlineLevel="0" collapsed="false">
      <c r="A5" s="58" t="s">
        <v>954</v>
      </c>
      <c r="B5" s="58" t="s">
        <v>955</v>
      </c>
      <c r="C5" s="43" t="n">
        <v>3</v>
      </c>
      <c r="D5" s="43" t="n">
        <v>5</v>
      </c>
      <c r="E5" s="32" t="n">
        <f aca="false">C5*D5</f>
        <v>15</v>
      </c>
      <c r="F5" s="58" t="s">
        <v>956</v>
      </c>
      <c r="G5" s="58" t="s">
        <v>292</v>
      </c>
      <c r="H5" s="58" t="s">
        <v>843</v>
      </c>
      <c r="I5" s="58" t="s">
        <v>957</v>
      </c>
      <c r="J5" s="69" t="s">
        <v>958</v>
      </c>
    </row>
    <row r="6" customFormat="false" ht="31.5" hidden="false" customHeight="true" outlineLevel="0" collapsed="false">
      <c r="A6" s="58" t="s">
        <v>959</v>
      </c>
      <c r="B6" s="58" t="s">
        <v>960</v>
      </c>
      <c r="C6" s="43" t="n">
        <v>3</v>
      </c>
      <c r="D6" s="43" t="n">
        <v>4</v>
      </c>
      <c r="E6" s="32" t="n">
        <f aca="false">C6*D6</f>
        <v>12</v>
      </c>
      <c r="F6" s="58" t="s">
        <v>961</v>
      </c>
      <c r="G6" s="58" t="s">
        <v>292</v>
      </c>
      <c r="H6" s="58" t="s">
        <v>843</v>
      </c>
      <c r="I6" s="58" t="s">
        <v>962</v>
      </c>
      <c r="J6" s="69" t="s">
        <v>963</v>
      </c>
    </row>
    <row r="7" customFormat="false" ht="31.5" hidden="false" customHeight="true" outlineLevel="0" collapsed="false">
      <c r="A7" s="58" t="s">
        <v>964</v>
      </c>
      <c r="B7" s="58" t="s">
        <v>965</v>
      </c>
      <c r="C7" s="43" t="n">
        <v>2</v>
      </c>
      <c r="D7" s="43" t="n">
        <v>4</v>
      </c>
      <c r="E7" s="32" t="n">
        <f aca="false">C7*D7</f>
        <v>8</v>
      </c>
      <c r="F7" s="58" t="s">
        <v>966</v>
      </c>
      <c r="G7" s="58" t="s">
        <v>631</v>
      </c>
      <c r="H7" s="58" t="s">
        <v>855</v>
      </c>
      <c r="I7" s="58" t="s">
        <v>967</v>
      </c>
      <c r="J7" s="69" t="s">
        <v>963</v>
      </c>
    </row>
    <row r="8" customFormat="false" ht="31.5" hidden="false" customHeight="true" outlineLevel="0" collapsed="false">
      <c r="A8" s="58" t="s">
        <v>968</v>
      </c>
      <c r="B8" s="58" t="s">
        <v>969</v>
      </c>
      <c r="C8" s="43" t="n">
        <v>4</v>
      </c>
      <c r="D8" s="43" t="n">
        <v>3</v>
      </c>
      <c r="E8" s="32" t="n">
        <f aca="false">C8*D8</f>
        <v>12</v>
      </c>
      <c r="F8" s="58" t="s">
        <v>970</v>
      </c>
      <c r="G8" s="58" t="s">
        <v>100</v>
      </c>
      <c r="H8" s="58" t="s">
        <v>847</v>
      </c>
      <c r="I8" s="58" t="s">
        <v>971</v>
      </c>
      <c r="J8" s="69" t="s">
        <v>963</v>
      </c>
    </row>
    <row r="9" customFormat="false" ht="31.5" hidden="false" customHeight="true" outlineLevel="0" collapsed="false">
      <c r="A9" s="58" t="s">
        <v>972</v>
      </c>
      <c r="B9" s="58" t="s">
        <v>973</v>
      </c>
      <c r="C9" s="43" t="n">
        <v>2</v>
      </c>
      <c r="D9" s="43" t="n">
        <v>3</v>
      </c>
      <c r="E9" s="32" t="n">
        <f aca="false">C9*D9</f>
        <v>6</v>
      </c>
      <c r="F9" s="58" t="s">
        <v>974</v>
      </c>
      <c r="G9" s="58" t="s">
        <v>639</v>
      </c>
      <c r="H9" s="58" t="s">
        <v>847</v>
      </c>
      <c r="I9" s="58" t="s">
        <v>975</v>
      </c>
      <c r="J9" s="69" t="s">
        <v>963</v>
      </c>
    </row>
    <row r="10" customFormat="false" ht="31.5" hidden="false" customHeight="true" outlineLevel="0" collapsed="false">
      <c r="A10" s="58" t="s">
        <v>976</v>
      </c>
      <c r="B10" s="58" t="s">
        <v>977</v>
      </c>
      <c r="C10" s="43" t="n">
        <v>2</v>
      </c>
      <c r="D10" s="43" t="n">
        <v>5</v>
      </c>
      <c r="E10" s="32" t="n">
        <f aca="false">C10*D10</f>
        <v>10</v>
      </c>
      <c r="F10" s="58" t="s">
        <v>978</v>
      </c>
      <c r="G10" s="58" t="s">
        <v>292</v>
      </c>
      <c r="H10" s="58" t="s">
        <v>847</v>
      </c>
      <c r="I10" s="58" t="s">
        <v>979</v>
      </c>
      <c r="J10" s="69" t="s">
        <v>963</v>
      </c>
    </row>
    <row r="11" customFormat="false" ht="31.5" hidden="false" customHeight="true" outlineLevel="0" collapsed="false">
      <c r="A11" s="58" t="s">
        <v>980</v>
      </c>
      <c r="B11" s="58" t="s">
        <v>981</v>
      </c>
      <c r="C11" s="43" t="n">
        <v>3</v>
      </c>
      <c r="D11" s="43" t="n">
        <v>4</v>
      </c>
      <c r="E11" s="32" t="n">
        <f aca="false">C11*D11</f>
        <v>12</v>
      </c>
      <c r="F11" s="58" t="s">
        <v>982</v>
      </c>
      <c r="G11" s="58" t="s">
        <v>100</v>
      </c>
      <c r="H11" s="58" t="s">
        <v>851</v>
      </c>
      <c r="I11" s="58" t="s">
        <v>983</v>
      </c>
      <c r="J11" s="69" t="s">
        <v>963</v>
      </c>
    </row>
    <row r="12" customFormat="false" ht="31.5" hidden="false" customHeight="true" outlineLevel="0" collapsed="false">
      <c r="A12" s="58" t="s">
        <v>984</v>
      </c>
      <c r="B12" s="58" t="s">
        <v>985</v>
      </c>
      <c r="C12" s="43" t="n">
        <v>2</v>
      </c>
      <c r="D12" s="43" t="n">
        <v>4</v>
      </c>
      <c r="E12" s="32" t="n">
        <f aca="false">C12*D12</f>
        <v>8</v>
      </c>
      <c r="F12" s="58" t="s">
        <v>986</v>
      </c>
      <c r="G12" s="58" t="s">
        <v>631</v>
      </c>
      <c r="H12" s="58" t="s">
        <v>839</v>
      </c>
      <c r="I12" s="58" t="s">
        <v>987</v>
      </c>
      <c r="J12" s="69" t="s">
        <v>963</v>
      </c>
    </row>
    <row r="13" customFormat="false" ht="31.5" hidden="false" customHeight="true" outlineLevel="0" collapsed="false">
      <c r="A13" s="58" t="s">
        <v>988</v>
      </c>
      <c r="B13" s="58" t="s">
        <v>989</v>
      </c>
      <c r="C13" s="43" t="n">
        <v>2</v>
      </c>
      <c r="D13" s="43" t="n">
        <v>2</v>
      </c>
      <c r="E13" s="32" t="n">
        <f aca="false">C13*D13</f>
        <v>4</v>
      </c>
      <c r="F13" s="58" t="s">
        <v>990</v>
      </c>
      <c r="G13" s="58" t="s">
        <v>292</v>
      </c>
      <c r="H13" s="58" t="s">
        <v>839</v>
      </c>
      <c r="I13" s="58" t="s">
        <v>991</v>
      </c>
      <c r="J13" s="69" t="s">
        <v>963</v>
      </c>
    </row>
    <row r="14" customFormat="false" ht="31.5" hidden="false" customHeight="true" outlineLevel="0" collapsed="false">
      <c r="A14" s="58" t="s">
        <v>992</v>
      </c>
      <c r="B14" s="58" t="s">
        <v>993</v>
      </c>
      <c r="C14" s="43" t="n">
        <v>3</v>
      </c>
      <c r="D14" s="43" t="n">
        <v>4</v>
      </c>
      <c r="E14" s="32" t="n">
        <f aca="false">C14*D14</f>
        <v>12</v>
      </c>
      <c r="F14" s="58" t="s">
        <v>994</v>
      </c>
      <c r="G14" s="58" t="s">
        <v>292</v>
      </c>
      <c r="H14" s="58" t="s">
        <v>851</v>
      </c>
      <c r="I14" s="58" t="s">
        <v>995</v>
      </c>
      <c r="J14" s="69" t="s">
        <v>963</v>
      </c>
    </row>
    <row r="15" customFormat="false" ht="31.5" hidden="false" customHeight="true" outlineLevel="0" collapsed="false">
      <c r="A15" s="58" t="s">
        <v>996</v>
      </c>
      <c r="B15" s="58" t="s">
        <v>997</v>
      </c>
      <c r="C15" s="43" t="n">
        <v>3</v>
      </c>
      <c r="D15" s="43" t="n">
        <v>5</v>
      </c>
      <c r="E15" s="32" t="n">
        <f aca="false">C15*D15</f>
        <v>15</v>
      </c>
      <c r="F15" s="58" t="s">
        <v>998</v>
      </c>
      <c r="G15" s="58" t="s">
        <v>292</v>
      </c>
      <c r="H15" s="58" t="s">
        <v>847</v>
      </c>
      <c r="I15" s="58" t="s">
        <v>999</v>
      </c>
      <c r="J15" s="69" t="s">
        <v>963</v>
      </c>
    </row>
    <row r="16" customFormat="false" ht="31.5" hidden="false" customHeight="true" outlineLevel="0" collapsed="false">
      <c r="A16" s="58" t="s">
        <v>1000</v>
      </c>
      <c r="B16" s="58" t="s">
        <v>1001</v>
      </c>
      <c r="C16" s="43" t="n">
        <v>4</v>
      </c>
      <c r="D16" s="43" t="n">
        <v>4</v>
      </c>
      <c r="E16" s="32" t="n">
        <f aca="false">C16*D16</f>
        <v>16</v>
      </c>
      <c r="F16" s="58" t="s">
        <v>1002</v>
      </c>
      <c r="G16" s="58" t="s">
        <v>100</v>
      </c>
      <c r="H16" s="58" t="s">
        <v>843</v>
      </c>
      <c r="I16" s="58" t="s">
        <v>1003</v>
      </c>
      <c r="J16" s="69" t="s">
        <v>963</v>
      </c>
    </row>
    <row r="17" customFormat="false" ht="31.5" hidden="false" customHeight="true" outlineLevel="0" collapsed="false">
      <c r="A17" s="58" t="s">
        <v>1004</v>
      </c>
      <c r="B17" s="58" t="s">
        <v>1005</v>
      </c>
      <c r="C17" s="43" t="n">
        <v>3</v>
      </c>
      <c r="D17" s="43" t="n">
        <v>4</v>
      </c>
      <c r="E17" s="32" t="n">
        <f aca="false">C17*D17</f>
        <v>12</v>
      </c>
      <c r="F17" s="58" t="s">
        <v>1006</v>
      </c>
      <c r="G17" s="58" t="s">
        <v>100</v>
      </c>
      <c r="H17" s="58" t="s">
        <v>847</v>
      </c>
      <c r="I17" s="58" t="s">
        <v>1007</v>
      </c>
      <c r="J17" s="69" t="s">
        <v>963</v>
      </c>
    </row>
    <row r="18" customFormat="false" ht="31.5" hidden="false" customHeight="true" outlineLevel="0" collapsed="false">
      <c r="A18" s="58" t="s">
        <v>1008</v>
      </c>
      <c r="B18" s="58" t="s">
        <v>1009</v>
      </c>
      <c r="C18" s="43" t="n">
        <v>2</v>
      </c>
      <c r="D18" s="43" t="n">
        <v>3</v>
      </c>
      <c r="E18" s="32" t="n">
        <f aca="false">C18*D18</f>
        <v>6</v>
      </c>
      <c r="F18" s="58" t="s">
        <v>1010</v>
      </c>
      <c r="G18" s="58" t="s">
        <v>292</v>
      </c>
      <c r="H18" s="58" t="s">
        <v>855</v>
      </c>
      <c r="I18" s="58" t="s">
        <v>1011</v>
      </c>
      <c r="J18" s="69" t="s">
        <v>963</v>
      </c>
    </row>
    <row r="19" customFormat="false" ht="31.5" hidden="false" customHeight="true" outlineLevel="0" collapsed="false">
      <c r="A19" s="58" t="s">
        <v>1012</v>
      </c>
      <c r="B19" s="58" t="s">
        <v>1013</v>
      </c>
      <c r="C19" s="43" t="n">
        <v>2</v>
      </c>
      <c r="D19" s="43" t="n">
        <v>4</v>
      </c>
      <c r="E19" s="32" t="n">
        <f aca="false">C19*D19</f>
        <v>8</v>
      </c>
      <c r="F19" s="58" t="s">
        <v>1014</v>
      </c>
      <c r="G19" s="58" t="s">
        <v>631</v>
      </c>
      <c r="H19" s="58" t="s">
        <v>847</v>
      </c>
      <c r="I19" s="58" t="s">
        <v>1015</v>
      </c>
      <c r="J19" s="69" t="s">
        <v>963</v>
      </c>
    </row>
    <row r="20" customFormat="false" ht="31.5" hidden="false" customHeight="true" outlineLevel="0" collapsed="false">
      <c r="A20" s="58" t="s">
        <v>1016</v>
      </c>
      <c r="B20" s="58" t="s">
        <v>1017</v>
      </c>
      <c r="C20" s="43" t="n">
        <v>3</v>
      </c>
      <c r="D20" s="43" t="n">
        <v>5</v>
      </c>
      <c r="E20" s="32" t="n">
        <f aca="false">C20*D20</f>
        <v>15</v>
      </c>
      <c r="F20" s="58" t="s">
        <v>1018</v>
      </c>
      <c r="G20" s="58" t="s">
        <v>100</v>
      </c>
      <c r="H20" s="58" t="s">
        <v>843</v>
      </c>
      <c r="I20" s="58" t="s">
        <v>1019</v>
      </c>
      <c r="J20" s="69" t="s">
        <v>963</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1020</v>
      </c>
      <c r="B2" s="3"/>
      <c r="C2" s="3"/>
      <c r="D2" s="3"/>
      <c r="E2" s="3"/>
      <c r="F2" s="3"/>
      <c r="G2" s="3"/>
    </row>
    <row r="4" customFormat="false" ht="15" hidden="false" customHeight="true" outlineLevel="0" collapsed="false">
      <c r="A4" s="57" t="s">
        <v>1021</v>
      </c>
      <c r="B4" s="57" t="s">
        <v>1022</v>
      </c>
      <c r="C4" s="57" t="s">
        <v>1023</v>
      </c>
      <c r="D4" s="57" t="s">
        <v>1024</v>
      </c>
      <c r="E4" s="57" t="s">
        <v>95</v>
      </c>
      <c r="F4" s="9" t="s">
        <v>619</v>
      </c>
      <c r="G4" s="9" t="s">
        <v>1025</v>
      </c>
    </row>
    <row r="5" customFormat="false" ht="27.75" hidden="false" customHeight="true" outlineLevel="0" collapsed="false">
      <c r="A5" s="27" t="s">
        <v>1026</v>
      </c>
      <c r="B5" s="27" t="s">
        <v>1027</v>
      </c>
      <c r="C5" s="27" t="s">
        <v>1028</v>
      </c>
      <c r="D5" s="27" t="s">
        <v>1029</v>
      </c>
      <c r="E5" s="27" t="s">
        <v>1030</v>
      </c>
      <c r="F5" s="27" t="s">
        <v>639</v>
      </c>
      <c r="G5" s="27" t="s">
        <v>1031</v>
      </c>
    </row>
    <row r="6" customFormat="false" ht="27.75" hidden="false" customHeight="true" outlineLevel="0" collapsed="false">
      <c r="A6" s="58" t="s">
        <v>591</v>
      </c>
      <c r="B6" s="58" t="s">
        <v>1032</v>
      </c>
      <c r="C6" s="58" t="s">
        <v>1033</v>
      </c>
      <c r="D6" s="58" t="s">
        <v>1034</v>
      </c>
      <c r="E6" s="58" t="s">
        <v>1035</v>
      </c>
      <c r="F6" s="58" t="s">
        <v>1036</v>
      </c>
      <c r="G6" s="58" t="s">
        <v>1037</v>
      </c>
    </row>
    <row r="7" customFormat="false" ht="27.75" hidden="false" customHeight="true" outlineLevel="0" collapsed="false">
      <c r="A7" s="27" t="s">
        <v>1038</v>
      </c>
      <c r="B7" s="27" t="s">
        <v>1039</v>
      </c>
      <c r="C7" s="27" t="s">
        <v>1040</v>
      </c>
      <c r="D7" s="27" t="s">
        <v>1041</v>
      </c>
      <c r="E7" s="27" t="s">
        <v>1042</v>
      </c>
      <c r="F7" s="27" t="s">
        <v>639</v>
      </c>
      <c r="G7" s="27" t="s">
        <v>1037</v>
      </c>
    </row>
    <row r="8" customFormat="false" ht="27.75" hidden="false" customHeight="true" outlineLevel="0" collapsed="false">
      <c r="A8" s="58" t="s">
        <v>1043</v>
      </c>
      <c r="B8" s="58" t="s">
        <v>1044</v>
      </c>
      <c r="C8" s="58" t="s">
        <v>1045</v>
      </c>
      <c r="D8" s="58" t="s">
        <v>1046</v>
      </c>
      <c r="E8" s="58" t="s">
        <v>1047</v>
      </c>
      <c r="F8" s="58" t="s">
        <v>639</v>
      </c>
      <c r="G8" s="58" t="s">
        <v>1048</v>
      </c>
    </row>
    <row r="9" customFormat="false" ht="27.75" hidden="false" customHeight="true" outlineLevel="0" collapsed="false">
      <c r="A9" s="27" t="s">
        <v>476</v>
      </c>
      <c r="B9" s="27" t="s">
        <v>1049</v>
      </c>
      <c r="C9" s="27" t="s">
        <v>1050</v>
      </c>
      <c r="D9" s="27" t="s">
        <v>1051</v>
      </c>
      <c r="E9" s="27" t="s">
        <v>1052</v>
      </c>
      <c r="F9" s="27" t="s">
        <v>639</v>
      </c>
      <c r="G9" s="27" t="s">
        <v>1053</v>
      </c>
    </row>
    <row r="10" customFormat="false" ht="27.75" hidden="false" customHeight="true" outlineLevel="0" collapsed="false">
      <c r="A10" s="58" t="s">
        <v>667</v>
      </c>
      <c r="B10" s="58" t="s">
        <v>1054</v>
      </c>
      <c r="C10" s="58" t="s">
        <v>1055</v>
      </c>
      <c r="D10" s="58" t="s">
        <v>789</v>
      </c>
      <c r="E10" s="58" t="s">
        <v>1056</v>
      </c>
      <c r="F10" s="58" t="s">
        <v>639</v>
      </c>
      <c r="G10" s="58" t="s">
        <v>1057</v>
      </c>
    </row>
    <row r="11" customFormat="false" ht="27.75" hidden="false" customHeight="true" outlineLevel="0" collapsed="false">
      <c r="A11" s="27" t="s">
        <v>731</v>
      </c>
      <c r="B11" s="27" t="s">
        <v>1058</v>
      </c>
      <c r="C11" s="27" t="s">
        <v>1059</v>
      </c>
      <c r="D11" s="27" t="s">
        <v>1060</v>
      </c>
      <c r="E11" s="27" t="s">
        <v>1061</v>
      </c>
      <c r="F11" s="27" t="s">
        <v>731</v>
      </c>
      <c r="G11" s="27" t="s">
        <v>1062</v>
      </c>
    </row>
    <row r="12" customFormat="false" ht="27.75" hidden="false" customHeight="true" outlineLevel="0" collapsed="false">
      <c r="A12" s="58" t="s">
        <v>750</v>
      </c>
      <c r="B12" s="58" t="s">
        <v>1063</v>
      </c>
      <c r="C12" s="58" t="s">
        <v>1064</v>
      </c>
      <c r="D12" s="58" t="s">
        <v>1065</v>
      </c>
      <c r="E12" s="58" t="s">
        <v>1066</v>
      </c>
      <c r="F12" s="58" t="s">
        <v>292</v>
      </c>
      <c r="G12" s="58" t="s">
        <v>1037</v>
      </c>
    </row>
    <row r="13" customFormat="false" ht="27.75" hidden="false" customHeight="true" outlineLevel="0" collapsed="false">
      <c r="A13" s="27" t="s">
        <v>1067</v>
      </c>
      <c r="B13" s="27" t="s">
        <v>1068</v>
      </c>
      <c r="C13" s="27" t="s">
        <v>1069</v>
      </c>
      <c r="D13" s="27" t="s">
        <v>1070</v>
      </c>
      <c r="E13" s="27" t="s">
        <v>1071</v>
      </c>
      <c r="F13" s="27" t="s">
        <v>631</v>
      </c>
      <c r="G13" s="27" t="s">
        <v>1037</v>
      </c>
    </row>
    <row r="14" customFormat="false" ht="27.75" hidden="false" customHeight="true" outlineLevel="0" collapsed="false">
      <c r="A14" s="58" t="s">
        <v>1072</v>
      </c>
      <c r="B14" s="58" t="s">
        <v>1073</v>
      </c>
      <c r="C14" s="58" t="s">
        <v>1074</v>
      </c>
      <c r="D14" s="58" t="s">
        <v>1075</v>
      </c>
      <c r="E14" s="58" t="s">
        <v>1076</v>
      </c>
      <c r="F14" s="58" t="s">
        <v>100</v>
      </c>
      <c r="G14" s="58" t="s">
        <v>1077</v>
      </c>
    </row>
    <row r="15" customFormat="false" ht="27.75" hidden="false" customHeight="true" outlineLevel="0" collapsed="false">
      <c r="A15" s="27" t="s">
        <v>1078</v>
      </c>
      <c r="B15" s="27" t="s">
        <v>1079</v>
      </c>
      <c r="C15" s="27" t="s">
        <v>1080</v>
      </c>
      <c r="D15" s="27" t="s">
        <v>1081</v>
      </c>
      <c r="E15" s="27" t="s">
        <v>1082</v>
      </c>
      <c r="F15" s="27" t="s">
        <v>100</v>
      </c>
      <c r="G15" s="27" t="s">
        <v>1083</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1084</v>
      </c>
      <c r="B2" s="3"/>
      <c r="C2" s="3"/>
      <c r="D2" s="3"/>
    </row>
    <row r="4" customFormat="false" ht="15" hidden="false" customHeight="true" outlineLevel="0" collapsed="false">
      <c r="A4" s="57" t="s">
        <v>110</v>
      </c>
      <c r="B4" s="57" t="s">
        <v>1085</v>
      </c>
      <c r="C4" s="57" t="s">
        <v>1086</v>
      </c>
      <c r="D4" s="57" t="s">
        <v>619</v>
      </c>
    </row>
    <row r="5" customFormat="false" ht="27.75" hidden="false" customHeight="true" outlineLevel="0" collapsed="false">
      <c r="A5" s="27" t="s">
        <v>1087</v>
      </c>
      <c r="B5" s="27" t="s">
        <v>1088</v>
      </c>
      <c r="C5" s="27" t="s">
        <v>839</v>
      </c>
      <c r="D5" s="27" t="s">
        <v>100</v>
      </c>
    </row>
    <row r="6" customFormat="false" ht="27.75" hidden="false" customHeight="true" outlineLevel="0" collapsed="false">
      <c r="A6" s="58" t="s">
        <v>1089</v>
      </c>
      <c r="B6" s="58" t="s">
        <v>1090</v>
      </c>
      <c r="C6" s="58" t="s">
        <v>1091</v>
      </c>
      <c r="D6" s="58" t="s">
        <v>631</v>
      </c>
    </row>
    <row r="7" customFormat="false" ht="27.75" hidden="false" customHeight="true" outlineLevel="0" collapsed="false">
      <c r="A7" s="27" t="s">
        <v>1092</v>
      </c>
      <c r="B7" s="27" t="s">
        <v>1093</v>
      </c>
      <c r="C7" s="27" t="s">
        <v>847</v>
      </c>
      <c r="D7" s="27" t="s">
        <v>631</v>
      </c>
    </row>
    <row r="8" customFormat="false" ht="27.75" hidden="false" customHeight="true" outlineLevel="0" collapsed="false">
      <c r="A8" s="58" t="s">
        <v>1094</v>
      </c>
      <c r="B8" s="58" t="s">
        <v>1095</v>
      </c>
      <c r="C8" s="58" t="s">
        <v>843</v>
      </c>
      <c r="D8" s="58" t="s">
        <v>292</v>
      </c>
    </row>
    <row r="9" customFormat="false" ht="27.75" hidden="false" customHeight="true" outlineLevel="0" collapsed="false">
      <c r="A9" s="27" t="s">
        <v>1096</v>
      </c>
      <c r="B9" s="27" t="s">
        <v>1097</v>
      </c>
      <c r="C9" s="27" t="s">
        <v>839</v>
      </c>
      <c r="D9" s="27" t="s">
        <v>100</v>
      </c>
    </row>
    <row r="10" customFormat="false" ht="27.75" hidden="false" customHeight="true" outlineLevel="0" collapsed="false">
      <c r="A10" s="58" t="s">
        <v>1098</v>
      </c>
      <c r="B10" s="58" t="s">
        <v>1099</v>
      </c>
      <c r="C10" s="58" t="s">
        <v>847</v>
      </c>
      <c r="D10" s="58" t="s">
        <v>292</v>
      </c>
    </row>
    <row r="11" customFormat="false" ht="27.75" hidden="false" customHeight="true" outlineLevel="0" collapsed="false">
      <c r="A11" s="27" t="s">
        <v>1100</v>
      </c>
      <c r="B11" s="27" t="s">
        <v>1101</v>
      </c>
      <c r="C11" s="27" t="s">
        <v>855</v>
      </c>
      <c r="D11" s="27" t="s">
        <v>100</v>
      </c>
    </row>
    <row r="12" customFormat="false" ht="27.75" hidden="false" customHeight="true" outlineLevel="0" collapsed="false">
      <c r="A12" s="58" t="s">
        <v>1102</v>
      </c>
      <c r="B12" s="58" t="s">
        <v>1103</v>
      </c>
      <c r="C12" s="58" t="s">
        <v>858</v>
      </c>
      <c r="D12" s="58" t="s">
        <v>100</v>
      </c>
    </row>
    <row r="13" customFormat="false" ht="27.75" hidden="false" customHeight="true" outlineLevel="0" collapsed="false">
      <c r="A13" s="27" t="s">
        <v>1104</v>
      </c>
      <c r="B13" s="27" t="s">
        <v>1105</v>
      </c>
      <c r="C13" s="27" t="s">
        <v>858</v>
      </c>
      <c r="D13" s="27" t="s">
        <v>786</v>
      </c>
    </row>
    <row r="14" customFormat="false" ht="27.75" hidden="false" customHeight="true" outlineLevel="0" collapsed="false">
      <c r="A14" s="58" t="s">
        <v>1106</v>
      </c>
      <c r="B14" s="58" t="s">
        <v>1107</v>
      </c>
      <c r="C14" s="58" t="s">
        <v>1108</v>
      </c>
      <c r="D14" s="58" t="s">
        <v>292</v>
      </c>
    </row>
    <row r="15" customFormat="false" ht="27.75" hidden="false" customHeight="true" outlineLevel="0" collapsed="false">
      <c r="A15" s="27" t="s">
        <v>1109</v>
      </c>
      <c r="B15" s="27" t="s">
        <v>1110</v>
      </c>
      <c r="C15" s="27" t="s">
        <v>843</v>
      </c>
      <c r="D15" s="27" t="s">
        <v>100</v>
      </c>
    </row>
    <row r="16" customFormat="false" ht="27.75" hidden="false" customHeight="true" outlineLevel="0" collapsed="false">
      <c r="A16" s="58" t="s">
        <v>1111</v>
      </c>
      <c r="B16" s="58" t="str">
        <f aca="false">"Premium at $"&amp;TEXT(Assumptions!B69,"0.00")&amp;". Launch discount no deeper than the realized-price factor on Assumptions."</f>
        <v>Premium at $19.99. Launch discount no deeper than the realized-price factor on Assumptions.</v>
      </c>
      <c r="C16" s="58" t="s">
        <v>851</v>
      </c>
      <c r="D16" s="58" t="s">
        <v>100</v>
      </c>
    </row>
    <row r="17" customFormat="false" ht="27.75" hidden="false" customHeight="true" outlineLevel="0" collapsed="false">
      <c r="A17" s="27" t="s">
        <v>1112</v>
      </c>
      <c r="B17" s="27" t="s">
        <v>1113</v>
      </c>
      <c r="C17" s="27" t="s">
        <v>843</v>
      </c>
      <c r="D17" s="27" t="s">
        <v>100</v>
      </c>
    </row>
    <row r="18" customFormat="false" ht="27.75" hidden="false" customHeight="true" outlineLevel="0" collapsed="false">
      <c r="A18" s="58" t="s">
        <v>833</v>
      </c>
      <c r="B18" s="58" t="s">
        <v>1114</v>
      </c>
      <c r="C18" s="58" t="s">
        <v>851</v>
      </c>
      <c r="D18" s="58" t="s">
        <v>100</v>
      </c>
    </row>
    <row r="19" customFormat="false" ht="27.75" hidden="false" customHeight="true" outlineLevel="0" collapsed="false">
      <c r="A19" s="27" t="s">
        <v>1115</v>
      </c>
      <c r="B19" s="27" t="s">
        <v>1116</v>
      </c>
      <c r="C19" s="27" t="s">
        <v>855</v>
      </c>
      <c r="D19" s="27" t="s">
        <v>631</v>
      </c>
    </row>
    <row r="20" customFormat="false" ht="27.75" hidden="false" customHeight="true" outlineLevel="0" collapsed="false">
      <c r="A20" s="58" t="s">
        <v>1117</v>
      </c>
      <c r="B20" s="58" t="s">
        <v>1118</v>
      </c>
      <c r="C20" s="58" t="s">
        <v>855</v>
      </c>
      <c r="D20" s="58" t="s">
        <v>100</v>
      </c>
    </row>
    <row r="21" customFormat="false" ht="27.75" hidden="false" customHeight="true" outlineLevel="0" collapsed="false">
      <c r="A21" s="27" t="s">
        <v>1119</v>
      </c>
      <c r="B21" s="27" t="s">
        <v>1120</v>
      </c>
      <c r="C21" s="27" t="s">
        <v>855</v>
      </c>
      <c r="D21" s="27" t="s">
        <v>292</v>
      </c>
    </row>
    <row r="22" customFormat="false" ht="27.75" hidden="false" customHeight="true" outlineLevel="0" collapsed="false">
      <c r="A22" s="58" t="s">
        <v>1121</v>
      </c>
      <c r="B22" s="58" t="s">
        <v>1122</v>
      </c>
      <c r="C22" s="58" t="s">
        <v>858</v>
      </c>
      <c r="D22" s="58"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1123</v>
      </c>
      <c r="B2" s="3"/>
      <c r="C2" s="3"/>
      <c r="D2" s="3"/>
    </row>
    <row r="4" customFormat="false" ht="15" hidden="false" customHeight="true" outlineLevel="0" collapsed="false">
      <c r="A4" s="9" t="s">
        <v>1124</v>
      </c>
      <c r="B4" s="9" t="s">
        <v>1125</v>
      </c>
      <c r="C4" s="9" t="s">
        <v>1126</v>
      </c>
      <c r="D4" s="9" t="s">
        <v>1127</v>
      </c>
    </row>
    <row r="5" customFormat="false" ht="30" hidden="false" customHeight="true" outlineLevel="0" collapsed="false">
      <c r="A5" s="101" t="n">
        <v>46311</v>
      </c>
      <c r="B5" s="27" t="s">
        <v>1128</v>
      </c>
      <c r="C5" s="27" t="s">
        <v>1129</v>
      </c>
      <c r="D5" s="27" t="s">
        <v>1130</v>
      </c>
    </row>
    <row r="6" customFormat="false" ht="30" hidden="false" customHeight="true" outlineLevel="0" collapsed="false">
      <c r="A6" s="102" t="n">
        <v>46311</v>
      </c>
      <c r="B6" s="58" t="s">
        <v>1128</v>
      </c>
      <c r="C6" s="58" t="s">
        <v>1131</v>
      </c>
      <c r="D6" s="58" t="s">
        <v>1132</v>
      </c>
    </row>
    <row r="7" customFormat="false" ht="30" hidden="false" customHeight="true" outlineLevel="0" collapsed="false">
      <c r="A7" s="101" t="n">
        <v>46311</v>
      </c>
      <c r="B7" s="27" t="s">
        <v>1128</v>
      </c>
      <c r="C7" s="27" t="s">
        <v>1133</v>
      </c>
      <c r="D7" s="27" t="s">
        <v>1134</v>
      </c>
    </row>
    <row r="8" customFormat="false" ht="30" hidden="false" customHeight="true" outlineLevel="0" collapsed="false">
      <c r="A8" s="102" t="n">
        <v>46311</v>
      </c>
      <c r="B8" s="58" t="s">
        <v>893</v>
      </c>
      <c r="C8" s="58" t="s">
        <v>1135</v>
      </c>
      <c r="D8" s="58" t="s">
        <v>1136</v>
      </c>
    </row>
    <row r="9" customFormat="false" ht="30" hidden="false" customHeight="true" outlineLevel="0" collapsed="false">
      <c r="A9" s="101" t="n">
        <v>46311</v>
      </c>
      <c r="B9" s="27" t="s">
        <v>1137</v>
      </c>
      <c r="C9" s="27" t="s">
        <v>1138</v>
      </c>
      <c r="D9" s="27" t="s">
        <v>1139</v>
      </c>
    </row>
    <row r="10" customFormat="false" ht="30" hidden="false" customHeight="true" outlineLevel="0" collapsed="false">
      <c r="A10" s="102" t="n">
        <v>46311</v>
      </c>
      <c r="B10" s="58" t="s">
        <v>53</v>
      </c>
      <c r="C10" s="58" t="s">
        <v>1140</v>
      </c>
      <c r="D10" s="58" t="s">
        <v>1141</v>
      </c>
    </row>
    <row r="11" customFormat="false" ht="30" hidden="false" customHeight="true" outlineLevel="0" collapsed="false">
      <c r="A11" s="101" t="n">
        <v>46311</v>
      </c>
      <c r="B11" s="27" t="s">
        <v>1142</v>
      </c>
      <c r="C11" s="27" t="s">
        <v>1143</v>
      </c>
      <c r="D11" s="27" t="s">
        <v>1144</v>
      </c>
    </row>
    <row r="12" customFormat="false" ht="30" hidden="false" customHeight="true" outlineLevel="0" collapsed="false">
      <c r="A12" s="102" t="n">
        <v>46311</v>
      </c>
      <c r="B12" s="58" t="s">
        <v>372</v>
      </c>
      <c r="C12" s="58" t="s">
        <v>1145</v>
      </c>
      <c r="D12" s="58" t="s">
        <v>1146</v>
      </c>
    </row>
    <row r="13" customFormat="false" ht="30" hidden="false" customHeight="true" outlineLevel="0" collapsed="false">
      <c r="A13" s="101" t="n">
        <v>46311</v>
      </c>
      <c r="B13" s="27" t="s">
        <v>1147</v>
      </c>
      <c r="C13" s="27" t="s">
        <v>1148</v>
      </c>
      <c r="D13" s="27" t="s">
        <v>1149</v>
      </c>
    </row>
    <row r="14" customFormat="false" ht="30" hidden="false" customHeight="true" outlineLevel="0" collapsed="false">
      <c r="A14" s="102" t="n">
        <v>46311</v>
      </c>
      <c r="B14" s="58" t="s">
        <v>1150</v>
      </c>
      <c r="C14" s="58" t="s">
        <v>1151</v>
      </c>
      <c r="D14" s="58" t="s">
        <v>1152</v>
      </c>
    </row>
    <row r="15" customFormat="false" ht="30" hidden="false" customHeight="true" outlineLevel="0" collapsed="false">
      <c r="A15" s="101" t="n">
        <v>46311</v>
      </c>
      <c r="B15" s="27" t="s">
        <v>58</v>
      </c>
      <c r="C15" s="27" t="s">
        <v>1153</v>
      </c>
      <c r="D15" s="27" t="s">
        <v>1154</v>
      </c>
    </row>
    <row r="16" customFormat="false" ht="30" hidden="false" customHeight="true" outlineLevel="0" collapsed="false">
      <c r="A16" s="102" t="n">
        <v>46311</v>
      </c>
      <c r="B16" s="58" t="s">
        <v>1155</v>
      </c>
      <c r="C16" s="58" t="s">
        <v>1156</v>
      </c>
      <c r="D16" s="58" t="s">
        <v>1157</v>
      </c>
    </row>
    <row r="17" customFormat="false" ht="30" hidden="false" customHeight="true" outlineLevel="0" collapsed="false">
      <c r="A17" s="101" t="n">
        <v>46311</v>
      </c>
      <c r="B17" s="27" t="s">
        <v>62</v>
      </c>
      <c r="C17" s="27" t="s">
        <v>1158</v>
      </c>
      <c r="D17" s="27" t="s">
        <v>1159</v>
      </c>
    </row>
    <row r="18" customFormat="false" ht="30" hidden="false" customHeight="true" outlineLevel="0" collapsed="false">
      <c r="A18" s="102" t="n">
        <v>46311</v>
      </c>
      <c r="B18" s="58" t="s">
        <v>406</v>
      </c>
      <c r="C18" s="58" t="s">
        <v>1160</v>
      </c>
      <c r="D18" s="58" t="s">
        <v>1161</v>
      </c>
    </row>
    <row r="19" customFormat="false" ht="30" hidden="false" customHeight="true" outlineLevel="0" collapsed="false">
      <c r="A19" s="101" t="n">
        <v>46311</v>
      </c>
      <c r="B19" s="27" t="s">
        <v>682</v>
      </c>
      <c r="C19" s="27" t="s">
        <v>1162</v>
      </c>
      <c r="D19" s="27" t="s">
        <v>1163</v>
      </c>
    </row>
    <row r="20" customFormat="false" ht="30" hidden="false" customHeight="true" outlineLevel="0" collapsed="false">
      <c r="A20" s="102" t="n">
        <v>46311</v>
      </c>
      <c r="B20" s="58" t="s">
        <v>1164</v>
      </c>
      <c r="C20" s="58" t="s">
        <v>1165</v>
      </c>
      <c r="D20" s="58" t="s">
        <v>1166</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2026-10-17T21:17:52Z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